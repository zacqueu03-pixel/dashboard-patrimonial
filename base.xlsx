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504e36c3967e3/Desktop/PAINEIS/Base/"/>
    </mc:Choice>
  </mc:AlternateContent>
  <xr:revisionPtr revIDLastSave="82" documentId="8_{0F039CA3-B950-45CF-99D7-979372707199}" xr6:coauthVersionLast="47" xr6:coauthVersionMax="47" xr10:uidLastSave="{7D101C96-9B16-45C0-A507-57AC22C19575}"/>
  <bookViews>
    <workbookView xWindow="28680" yWindow="-120" windowWidth="29040" windowHeight="15720" xr2:uid="{F92458B9-4278-486E-A3B1-73089C24882F}"/>
  </bookViews>
  <sheets>
    <sheet name="base" sheetId="1" r:id="rId1"/>
    <sheet name="Planilha1" sheetId="4" r:id="rId2"/>
    <sheet name="dad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5" i="1" l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9" i="1"/>
  <c r="K57" i="1"/>
  <c r="K56" i="1"/>
  <c r="K4" i="1"/>
  <c r="K55" i="1"/>
  <c r="K54" i="1"/>
  <c r="K53" i="1"/>
  <c r="K52" i="1"/>
  <c r="K51" i="1"/>
  <c r="K50" i="1"/>
  <c r="K49" i="1"/>
  <c r="K48" i="1"/>
  <c r="K12" i="1"/>
  <c r="K15" i="1"/>
  <c r="K47" i="1"/>
  <c r="K8" i="1"/>
  <c r="K46" i="1"/>
  <c r="K14" i="1"/>
  <c r="K18" i="1"/>
  <c r="K17" i="1"/>
  <c r="K42" i="1"/>
  <c r="K43" i="1"/>
  <c r="K44" i="1"/>
  <c r="K6" i="1"/>
  <c r="K11" i="1"/>
  <c r="K45" i="1"/>
  <c r="K41" i="1"/>
  <c r="K40" i="1"/>
  <c r="K39" i="1"/>
  <c r="K38" i="1"/>
  <c r="K37" i="1"/>
  <c r="K35" i="1"/>
  <c r="K36" i="1"/>
  <c r="K34" i="1"/>
  <c r="K33" i="1"/>
  <c r="K32" i="1"/>
  <c r="K3" i="1"/>
  <c r="K31" i="1"/>
  <c r="K30" i="1"/>
  <c r="K7" i="1"/>
  <c r="K2" i="1"/>
  <c r="K27" i="1"/>
  <c r="K5" i="1"/>
  <c r="K16" i="1"/>
  <c r="K19" i="1"/>
  <c r="K20" i="1"/>
  <c r="K21" i="1"/>
  <c r="K22" i="1"/>
  <c r="K13" i="1"/>
  <c r="K23" i="1"/>
  <c r="K24" i="1"/>
  <c r="K25" i="1"/>
  <c r="K26" i="1"/>
  <c r="K10" i="1"/>
  <c r="K28" i="1"/>
  <c r="K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2260C-B582-489E-ABF1-794B22E911D9}" keepAlive="1" name="Consulta - Tabela1" description="Conexão com a consulta 'Tabela1' na pasta de trabalho." type="5" refreshedVersion="0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<sst xmlns="http://schemas.openxmlformats.org/spreadsheetml/2006/main" count="794" uniqueCount="208">
  <si>
    <t>GRUPO</t>
  </si>
  <si>
    <t>CONDICAO</t>
  </si>
  <si>
    <t>Fabricante</t>
  </si>
  <si>
    <t>Modelo</t>
  </si>
  <si>
    <t>Status</t>
  </si>
  <si>
    <t>Grupo</t>
  </si>
  <si>
    <t>Data Compra</t>
  </si>
  <si>
    <t>Fornecedor</t>
  </si>
  <si>
    <t>Valor</t>
  </si>
  <si>
    <t>Data Inventario</t>
  </si>
  <si>
    <t>Condicao</t>
  </si>
  <si>
    <t>Departamento</t>
  </si>
  <si>
    <t>Responsavel</t>
  </si>
  <si>
    <t>Observacao</t>
  </si>
  <si>
    <t>Monitor</t>
  </si>
  <si>
    <t>Produto</t>
  </si>
  <si>
    <t>Samsung</t>
  </si>
  <si>
    <t>C27F390FHL</t>
  </si>
  <si>
    <t>ATIVO</t>
  </si>
  <si>
    <t>Informática</t>
  </si>
  <si>
    <t>Mobiliário</t>
  </si>
  <si>
    <t>Climatização</t>
  </si>
  <si>
    <t>Impressão</t>
  </si>
  <si>
    <t>Ferramentas</t>
  </si>
  <si>
    <t>Eletrodomésticos</t>
  </si>
  <si>
    <t>Segurança</t>
  </si>
  <si>
    <t>Rede</t>
  </si>
  <si>
    <t>Veículos</t>
  </si>
  <si>
    <t>Não Identificado</t>
  </si>
  <si>
    <t>Y2U5HX5TC00141A</t>
  </si>
  <si>
    <t>Otimo</t>
  </si>
  <si>
    <t>Bom</t>
  </si>
  <si>
    <t>Supply</t>
  </si>
  <si>
    <t>Jhony</t>
  </si>
  <si>
    <t>Identificacao</t>
  </si>
  <si>
    <t>Ruim</t>
  </si>
  <si>
    <t>Sn</t>
  </si>
  <si>
    <t>Mesa</t>
  </si>
  <si>
    <t>PASSIVO</t>
  </si>
  <si>
    <t>Vendas Online</t>
  </si>
  <si>
    <t>Notebook</t>
  </si>
  <si>
    <t>Lenovo</t>
  </si>
  <si>
    <t>IdealPad 1 AMN7BR</t>
  </si>
  <si>
    <t>PF0AWRM9</t>
  </si>
  <si>
    <t>Dell</t>
  </si>
  <si>
    <t>Ronal</t>
  </si>
  <si>
    <t>4NRS574</t>
  </si>
  <si>
    <t>P113F007</t>
  </si>
  <si>
    <t>Jessica</t>
  </si>
  <si>
    <t>IdeaPad 3 15IGL05</t>
  </si>
  <si>
    <t>Antonio</t>
  </si>
  <si>
    <t>S3N0B603303813E</t>
  </si>
  <si>
    <t>E1504G</t>
  </si>
  <si>
    <t>Asus</t>
  </si>
  <si>
    <t>PED8NNP9</t>
  </si>
  <si>
    <t>Nathali</t>
  </si>
  <si>
    <t>8NR5574</t>
  </si>
  <si>
    <t>Adrielle</t>
  </si>
  <si>
    <t xml:space="preserve">P112F007 </t>
  </si>
  <si>
    <t>Osana</t>
  </si>
  <si>
    <t>BNR5574</t>
  </si>
  <si>
    <t>P112F007</t>
  </si>
  <si>
    <t>IdeaPad 1 15IAU7</t>
  </si>
  <si>
    <t>PE0C0Y1X</t>
  </si>
  <si>
    <t>Aldeni</t>
  </si>
  <si>
    <t>Acer</t>
  </si>
  <si>
    <t>N20C5</t>
  </si>
  <si>
    <t>Gleiseane</t>
  </si>
  <si>
    <t>Ananda</t>
  </si>
  <si>
    <t>Cadeira</t>
  </si>
  <si>
    <t>Cavaletti</t>
  </si>
  <si>
    <t>Linea 2501</t>
  </si>
  <si>
    <t>Tok&amp;Stok</t>
  </si>
  <si>
    <t xml:space="preserve">Mesa Escritório 120cm/135cm Pé Painel </t>
  </si>
  <si>
    <t>Valor Total</t>
  </si>
  <si>
    <t>Qtd</t>
  </si>
  <si>
    <t>Igor</t>
  </si>
  <si>
    <t>NXHNZAL0C3</t>
  </si>
  <si>
    <t>Monitor Curvo 27"</t>
  </si>
  <si>
    <t>IdeaPad 1 AMN7BR</t>
  </si>
  <si>
    <t>Notebook Dell</t>
  </si>
  <si>
    <t>Cadeira Escritório</t>
  </si>
  <si>
    <t>Mesa Escritório 120cm/135cm Pé Painel</t>
  </si>
  <si>
    <t>Mesa Escritório</t>
  </si>
  <si>
    <t>5BFG1B4</t>
  </si>
  <si>
    <t>Ediane</t>
  </si>
  <si>
    <t>Rh</t>
  </si>
  <si>
    <t>Rebeca</t>
  </si>
  <si>
    <t>IdealPad 3 15IML05</t>
  </si>
  <si>
    <t>PE09572M</t>
  </si>
  <si>
    <t>IdeaPad 330-15IKBR</t>
  </si>
  <si>
    <t>PE045ZXV</t>
  </si>
  <si>
    <t>Danielle</t>
  </si>
  <si>
    <t>5P3CQ74</t>
  </si>
  <si>
    <t>Patricia</t>
  </si>
  <si>
    <t>IdeaPad 3 15IML05</t>
  </si>
  <si>
    <t>PE07HEG2</t>
  </si>
  <si>
    <t>Sandra</t>
  </si>
  <si>
    <t>Mesa Escritório  Plataforma Compartilhada</t>
  </si>
  <si>
    <t>PE04GI70</t>
  </si>
  <si>
    <t>Vitor Andrade</t>
  </si>
  <si>
    <t>Bruna</t>
  </si>
  <si>
    <t xml:space="preserve">Tecla com Defeito </t>
  </si>
  <si>
    <t>Estante</t>
  </si>
  <si>
    <t>Armário de Nichos com Portas</t>
  </si>
  <si>
    <t xml:space="preserve">Estante </t>
  </si>
  <si>
    <t>Armário Suspenso</t>
  </si>
  <si>
    <t>Armário Alto Fechado de 4 Portas</t>
  </si>
  <si>
    <t>Rms</t>
  </si>
  <si>
    <t>PE0C77XX</t>
  </si>
  <si>
    <t>Tuane</t>
  </si>
  <si>
    <t>N18Q13</t>
  </si>
  <si>
    <t>NXH0PAL00R22902E039200</t>
  </si>
  <si>
    <t>Klerlis</t>
  </si>
  <si>
    <t>PE0C77X3</t>
  </si>
  <si>
    <t>Giovanna</t>
  </si>
  <si>
    <t>PE0D46TG</t>
  </si>
  <si>
    <t>Lauanda</t>
  </si>
  <si>
    <t>ES1-572-3362</t>
  </si>
  <si>
    <t>Andressa</t>
  </si>
  <si>
    <t>Pedro</t>
  </si>
  <si>
    <t>FNR5574</t>
  </si>
  <si>
    <t>4NR5574</t>
  </si>
  <si>
    <t>Daiane</t>
  </si>
  <si>
    <t>PE0C0Y9J</t>
  </si>
  <si>
    <t>Andressa Andrade</t>
  </si>
  <si>
    <t>A515-54G-55HW</t>
  </si>
  <si>
    <t>NXHQAL00R230011AC3200</t>
  </si>
  <si>
    <t xml:space="preserve">Ana Paula </t>
  </si>
  <si>
    <t>Filepe</t>
  </si>
  <si>
    <t xml:space="preserve">P112F </t>
  </si>
  <si>
    <t>2LP2294</t>
  </si>
  <si>
    <t>Bianca</t>
  </si>
  <si>
    <t>P90F005</t>
  </si>
  <si>
    <t>H8XG6Z3</t>
  </si>
  <si>
    <t>Laiane</t>
  </si>
  <si>
    <t>Raissa</t>
  </si>
  <si>
    <t>Inspiron 15 3567</t>
  </si>
  <si>
    <t>H1PJSV2</t>
  </si>
  <si>
    <t>NXGMFAL006810A20E09501</t>
  </si>
  <si>
    <t>NP300E4L-A13P</t>
  </si>
  <si>
    <t>Ricardo</t>
  </si>
  <si>
    <t>Ideapad 320-15IKB</t>
  </si>
  <si>
    <t>PE03TG4G</t>
  </si>
  <si>
    <t>Filipe Monte</t>
  </si>
  <si>
    <t>Jaison</t>
  </si>
  <si>
    <t>Ideapad 330-15IKBR</t>
  </si>
  <si>
    <t>NXKK02AL00331300DAE5501</t>
  </si>
  <si>
    <t>Baia Simples (call center)</t>
  </si>
  <si>
    <t>Armário Planejado MDF Verde 4 Portas + Nicho - Sob Medida</t>
  </si>
  <si>
    <t>DNR6574</t>
  </si>
  <si>
    <t>AOC</t>
  </si>
  <si>
    <t>KCYJ6XA009875</t>
  </si>
  <si>
    <t>Kauane</t>
  </si>
  <si>
    <t>Danilo</t>
  </si>
  <si>
    <t>Mesa Reta Planejada com Gaveteiro 2 Gavetas</t>
  </si>
  <si>
    <t>Conceito Casa Móveis Planejados</t>
  </si>
  <si>
    <t>Karol</t>
  </si>
  <si>
    <t>IdeaPad 1 15IJL7</t>
  </si>
  <si>
    <t>PE04T02T</t>
  </si>
  <si>
    <t>PED8NNFR</t>
  </si>
  <si>
    <t>7NR5574</t>
  </si>
  <si>
    <t>9N6R574</t>
  </si>
  <si>
    <t xml:space="preserve">GX12QN3 </t>
  </si>
  <si>
    <t xml:space="preserve">Mesa Escritório Balção Recepção em L  </t>
  </si>
  <si>
    <t>Financeiro</t>
  </si>
  <si>
    <t>Escritorio</t>
  </si>
  <si>
    <t>J6BVSH3</t>
  </si>
  <si>
    <t>Kaique</t>
  </si>
  <si>
    <t>P112F</t>
  </si>
  <si>
    <t>P90F</t>
  </si>
  <si>
    <t>Zacqueu</t>
  </si>
  <si>
    <t>NXKK0AL003313008429500</t>
  </si>
  <si>
    <t>Naille</t>
  </si>
  <si>
    <t>Quando tira do carredador desliga sozinho</t>
  </si>
  <si>
    <t>Lara</t>
  </si>
  <si>
    <t>e970Swni</t>
  </si>
  <si>
    <t>A315-58-31UY</t>
  </si>
  <si>
    <t>ES1-572-3562</t>
  </si>
  <si>
    <t>Ada Virginia</t>
  </si>
  <si>
    <t>P90F002</t>
  </si>
  <si>
    <t>P112F010</t>
  </si>
  <si>
    <t>CS8KN64</t>
  </si>
  <si>
    <t>Sabrina</t>
  </si>
  <si>
    <t>CRWX134</t>
  </si>
  <si>
    <t>Estação de Trabalho Individual (duas baia)</t>
  </si>
  <si>
    <t xml:space="preserve">Mesa Plataforma Dupla em L com Armário Pedestal Acoplado (com 4 lugares) </t>
  </si>
  <si>
    <t xml:space="preserve"> P2317H</t>
  </si>
  <si>
    <t>BFFLTD2</t>
  </si>
  <si>
    <t>T8IWV42QALABNNB</t>
  </si>
  <si>
    <t>KCYJ6XA007991</t>
  </si>
  <si>
    <t>Luis</t>
  </si>
  <si>
    <t xml:space="preserve">Davi </t>
  </si>
  <si>
    <t xml:space="preserve"> A315-51DP-33BB</t>
  </si>
  <si>
    <t>NXHXKAL007509500C09900</t>
  </si>
  <si>
    <t>CK9V664</t>
  </si>
  <si>
    <t>Jhonata</t>
  </si>
  <si>
    <t>PE09572A</t>
  </si>
  <si>
    <t>YS2UHX2T701133X</t>
  </si>
  <si>
    <t>TV</t>
  </si>
  <si>
    <t>Roku TV</t>
  </si>
  <si>
    <t>IdeaPad S145-15IWL</t>
  </si>
  <si>
    <t>PE04XMCG</t>
  </si>
  <si>
    <t>Vitor da Jesus</t>
  </si>
  <si>
    <t>Operações</t>
  </si>
  <si>
    <t>Bancada de Trabalho 4 Posições c/ Gaveteiros e Calha</t>
  </si>
  <si>
    <t>H83090RK201115P</t>
  </si>
  <si>
    <t>NXGMFAL006741169E5A9501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</si>
</sst>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E0E0E"/>
      <name val="Aptos Display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4" fontId="0" fillId="0" borderId="0" xfId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6" fontId="0" fillId="0" borderId="0" xfId="0" applyNumberFormat="1"/>
    <xf numFmtId="44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</cellXfs>
  <cellStyles count="2">
    <cellStyle name="Moeda" xfId="1" builtinId="4"/>
    <cellStyle name="Normal" xfId="0" builtinId="0"/>
  </cellStyles>
  <dxfs count="3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51857-5AFF-4C8D-BC81-560A3E6C8471}" name="Tabela1" displayName="Tabela1" ref="A1:Q75" headerRowDxfId="38" dataDxfId="37">
  <autoFilter ref="A1:Q75" xr:uid="{54F51857-5AFF-4C8D-BC81-560A3E6C8471}"/>
  <sortState xmlns:xlrd2="http://schemas.microsoft.com/office/spreadsheetml/2017/richdata2" ref="A2:Q59">
    <sortCondition ref="A2:A59"/>
  </sortState>
  <tableColumns count="17">
    <tableColumn id="1" xr3:uid="{788D6147-C066-4A89-9E22-1F42F622EDAD}" name="Identificacao" totalsRowLabel="Total" dataDxfId="36" totalsRowDxfId="35"/>
    <tableColumn id="2" xr3:uid="{586434BE-2E1B-4273-80C2-72D10255017B}" name="Produto" dataDxfId="34" totalsRowDxfId="33"/>
    <tableColumn id="3" xr3:uid="{8FFFEE29-9116-4E33-A3DF-9CD6E173F075}" name="Fabricante" dataDxfId="32" totalsRowDxfId="31"/>
    <tableColumn id="12" xr3:uid="{4F9D20F8-0FB7-468F-8F94-2E4AA17E5EB6}" name="Modelo" dataDxfId="30" totalsRowDxfId="29"/>
    <tableColumn id="7" xr3:uid="{2C7127C2-FF46-4BE5-888D-C45AD2C52EA3}" name="Sn" dataDxfId="28" totalsRowDxfId="27"/>
    <tableColumn id="4" xr3:uid="{CAF950E8-6ECA-48F5-AAD8-057AFEAEE67F}" name="Status" dataDxfId="26" totalsRowDxfId="25"/>
    <tableColumn id="14" xr3:uid="{A50D39CA-9E01-42BC-86B0-EED6573704C3}" name="Grupo" dataDxfId="24" totalsRowDxfId="23"/>
    <tableColumn id="6" xr3:uid="{ED3073AC-6726-4C86-97D9-69B5CFF8D964}" name="Fornecedor" dataDxfId="22" totalsRowDxfId="21"/>
    <tableColumn id="17" xr3:uid="{1FD66967-A959-4EFA-977F-EF05A7F92612}" name="Qtd" dataDxfId="20" totalsRowDxfId="19"/>
    <tableColumn id="8" xr3:uid="{C4D6FA41-C8BA-46CF-8F61-9183B1DDD52B}" name="Valor" dataDxfId="18" totalsRowDxfId="17" dataCellStyle="Moeda"/>
    <tableColumn id="18" xr3:uid="{80241F3D-BCD0-494C-96DB-B4D401ABF0F9}" name="Valor Total" totalsRowFunction="sum" dataDxfId="16" totalsRowDxfId="15" dataCellStyle="Moeda">
      <calculatedColumnFormula>Tabela1[[#This Row],[Qtd]]*Tabela1[[#This Row],[Valor]]</calculatedColumnFormula>
    </tableColumn>
    <tableColumn id="5" xr3:uid="{052DA15C-DA2C-4EC7-9AF0-48B3297534FE}" name="Data Compra" dataDxfId="14" totalsRowDxfId="13"/>
    <tableColumn id="9" xr3:uid="{613536FB-5EE4-41DF-BA22-37359C4B1026}" name="Data Inventario" dataDxfId="12" totalsRowDxfId="11"/>
    <tableColumn id="13" xr3:uid="{EF2A063D-B1C2-43AA-AB30-8D13153025B3}" name="Condicao" dataDxfId="10" totalsRowDxfId="9"/>
    <tableColumn id="10" xr3:uid="{930E3D12-5BC3-4781-857C-50F68E205634}" name="Departamento" dataDxfId="8" totalsRowDxfId="7"/>
    <tableColumn id="11" xr3:uid="{C46BB14D-4AA1-481E-A08C-96E648CF51F7}" name="Responsavel" dataDxfId="6" totalsRowDxfId="5"/>
    <tableColumn id="15" xr3:uid="{545621A9-48C6-4D7F-977F-E4A2BD4D1321}" name="Observacao" totalsRowFunction="count" dataDxfId="4" totalsRowDxfId="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81B9C1-CD3E-4F7B-86D3-190BF976EF69}" name="Tabela2" displayName="Tabela2" ref="A1:A10" totalsRowShown="0" headerRowDxfId="2" dataDxfId="1">
  <autoFilter ref="A1:A10" xr:uid="{2581B9C1-CD3E-4F7B-86D3-190BF976EF69}"/>
  <tableColumns count="1">
    <tableColumn id="1" xr3:uid="{93378392-EAB3-4CB9-8F8A-0EB848A595A7}" name="GRUP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055E0C-0F27-4413-B45D-2C057416E896}" name="Tabela3" displayName="Tabela3" ref="C1:C4" totalsRowShown="0">
  <autoFilter ref="C1:C4" xr:uid="{F1055E0C-0F27-4413-B45D-2C057416E896}"/>
  <tableColumns count="1">
    <tableColumn id="1" xr3:uid="{4D954903-58BD-4C65-8538-BBCAAED3DDDE}" name="COND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3243-A81D-43E0-B388-E3A8FF5A2F97}">
  <dimension ref="A1:Q75"/>
  <sheetViews>
    <sheetView showGridLines="0" tabSelected="1" zoomScaleNormal="100" workbookViewId="0">
      <selection activeCell="D11" sqref="D11"/>
    </sheetView>
  </sheetViews>
  <sheetFormatPr defaultRowHeight="14.4" x14ac:dyDescent="0.3"/>
  <cols>
    <col min="1" max="1" width="14.21875" customWidth="1"/>
    <col min="2" max="2" width="9.6640625" customWidth="1"/>
    <col min="3" max="3" width="30.77734375" bestFit="1" customWidth="1"/>
    <col min="4" max="4" width="79" bestFit="1" customWidth="1"/>
    <col min="5" max="5" width="27.77734375" bestFit="1" customWidth="1"/>
    <col min="6" max="6" width="8.109375" bestFit="1" customWidth="1"/>
    <col min="7" max="7" width="16" bestFit="1" customWidth="1"/>
    <col min="8" max="8" width="16.44140625" customWidth="1"/>
    <col min="9" max="9" width="13.109375" customWidth="1"/>
    <col min="10" max="10" width="14.88671875" bestFit="1" customWidth="1"/>
    <col min="11" max="11" width="15.6640625" bestFit="1" customWidth="1"/>
    <col min="12" max="12" width="17.88671875" bestFit="1" customWidth="1"/>
    <col min="13" max="13" width="14.33203125" customWidth="1"/>
    <col min="14" max="14" width="9.44140625" customWidth="1"/>
    <col min="15" max="15" width="16.5546875" bestFit="1" customWidth="1"/>
    <col min="16" max="16" width="16.88671875" customWidth="1"/>
    <col min="17" max="17" width="38.77734375" bestFit="1" customWidth="1"/>
    <col min="18" max="19" width="10.5546875" customWidth="1"/>
    <col min="20" max="20" width="13.109375" bestFit="1" customWidth="1"/>
    <col min="21" max="103" width="10.5546875" customWidth="1"/>
    <col min="104" max="1003" width="11.5546875" customWidth="1"/>
    <col min="1004" max="10003" width="12.5546875" customWidth="1"/>
    <col min="10004" max="16384" width="13.5546875" customWidth="1"/>
  </cols>
  <sheetData>
    <row r="1" spans="1:17" x14ac:dyDescent="0.3">
      <c r="A1" s="8" t="s">
        <v>34</v>
      </c>
      <c r="B1" s="8" t="s">
        <v>15</v>
      </c>
      <c r="C1" s="8" t="s">
        <v>2</v>
      </c>
      <c r="D1" s="8" t="s">
        <v>3</v>
      </c>
      <c r="E1" s="8" t="s">
        <v>36</v>
      </c>
      <c r="F1" s="8" t="s">
        <v>4</v>
      </c>
      <c r="G1" s="8" t="s">
        <v>5</v>
      </c>
      <c r="H1" s="8" t="s">
        <v>7</v>
      </c>
      <c r="I1" s="1" t="s">
        <v>75</v>
      </c>
      <c r="J1" s="1" t="s">
        <v>8</v>
      </c>
      <c r="K1" s="1" t="s">
        <v>74</v>
      </c>
      <c r="L1" s="1" t="s">
        <v>6</v>
      </c>
      <c r="M1" s="1" t="s">
        <v>9</v>
      </c>
      <c r="N1" s="8" t="s">
        <v>10</v>
      </c>
      <c r="O1" s="8" t="s">
        <v>11</v>
      </c>
      <c r="P1" s="8" t="s">
        <v>12</v>
      </c>
      <c r="Q1" s="8" t="s">
        <v>13</v>
      </c>
    </row>
    <row r="2" spans="1:17" x14ac:dyDescent="0.3">
      <c r="A2" s="9">
        <v>17</v>
      </c>
      <c r="B2" s="9" t="s">
        <v>40</v>
      </c>
      <c r="C2" s="9" t="s">
        <v>41</v>
      </c>
      <c r="D2" s="9" t="s">
        <v>88</v>
      </c>
      <c r="E2" s="14" t="s">
        <v>89</v>
      </c>
      <c r="F2" s="9" t="s">
        <v>18</v>
      </c>
      <c r="G2" s="9" t="s">
        <v>19</v>
      </c>
      <c r="H2" s="9" t="s">
        <v>28</v>
      </c>
      <c r="I2" s="6">
        <v>1</v>
      </c>
      <c r="J2" s="7">
        <v>2200</v>
      </c>
      <c r="K2" s="11">
        <f>Tabela1[[#This Row],[Qtd]]*Tabela1[[#This Row],[Valor]]</f>
        <v>2200</v>
      </c>
      <c r="L2" s="6"/>
      <c r="M2" s="5">
        <v>46156</v>
      </c>
      <c r="N2" s="9" t="s">
        <v>31</v>
      </c>
      <c r="O2" s="9" t="s">
        <v>86</v>
      </c>
      <c r="P2" s="9" t="s">
        <v>87</v>
      </c>
      <c r="Q2" s="9"/>
    </row>
    <row r="3" spans="1:17" x14ac:dyDescent="0.3">
      <c r="A3" s="9">
        <v>20</v>
      </c>
      <c r="B3" s="9" t="s">
        <v>40</v>
      </c>
      <c r="C3" s="9" t="s">
        <v>41</v>
      </c>
      <c r="D3" s="9" t="s">
        <v>95</v>
      </c>
      <c r="E3" s="14" t="s">
        <v>96</v>
      </c>
      <c r="F3" s="9" t="s">
        <v>18</v>
      </c>
      <c r="G3" s="9" t="s">
        <v>19</v>
      </c>
      <c r="H3" s="9" t="s">
        <v>28</v>
      </c>
      <c r="I3" s="6">
        <v>1</v>
      </c>
      <c r="J3" s="7">
        <v>2000</v>
      </c>
      <c r="K3" s="11">
        <f>Tabela1[[#This Row],[Qtd]]*Tabela1[[#This Row],[Valor]]</f>
        <v>2000</v>
      </c>
      <c r="L3" s="6"/>
      <c r="M3" s="5">
        <v>46156</v>
      </c>
      <c r="N3" s="9" t="s">
        <v>31</v>
      </c>
      <c r="O3" s="9" t="s">
        <v>86</v>
      </c>
      <c r="P3" s="9" t="s">
        <v>97</v>
      </c>
      <c r="Q3" s="9"/>
    </row>
    <row r="4" spans="1:17" x14ac:dyDescent="0.3">
      <c r="A4" s="9">
        <v>26</v>
      </c>
      <c r="B4" s="9" t="s">
        <v>40</v>
      </c>
      <c r="C4" s="9" t="s">
        <v>44</v>
      </c>
      <c r="D4" s="16" t="s">
        <v>170</v>
      </c>
      <c r="E4" s="14" t="s">
        <v>167</v>
      </c>
      <c r="F4" s="9" t="s">
        <v>18</v>
      </c>
      <c r="G4" s="9" t="s">
        <v>19</v>
      </c>
      <c r="H4" s="9" t="s">
        <v>28</v>
      </c>
      <c r="I4" s="6">
        <v>1</v>
      </c>
      <c r="J4" s="7">
        <v>1900</v>
      </c>
      <c r="K4" s="11">
        <f>Tabela1[[#This Row],[Qtd]]*Tabela1[[#This Row],[Valor]]</f>
        <v>1900</v>
      </c>
      <c r="L4" s="6"/>
      <c r="M4" s="12">
        <v>46160</v>
      </c>
      <c r="N4" s="9" t="s">
        <v>31</v>
      </c>
      <c r="O4" s="9" t="s">
        <v>165</v>
      </c>
      <c r="P4" s="9" t="s">
        <v>168</v>
      </c>
      <c r="Q4" s="9"/>
    </row>
    <row r="5" spans="1:17" x14ac:dyDescent="0.3">
      <c r="A5" s="8">
        <v>32</v>
      </c>
      <c r="B5" s="8" t="s">
        <v>14</v>
      </c>
      <c r="C5" s="8" t="s">
        <v>16</v>
      </c>
      <c r="D5" s="8" t="s">
        <v>17</v>
      </c>
      <c r="E5" s="13" t="s">
        <v>29</v>
      </c>
      <c r="F5" s="8" t="s">
        <v>18</v>
      </c>
      <c r="G5" s="8" t="s">
        <v>19</v>
      </c>
      <c r="H5" s="8" t="s">
        <v>28</v>
      </c>
      <c r="I5" s="1">
        <v>1</v>
      </c>
      <c r="J5" s="4">
        <v>750</v>
      </c>
      <c r="K5" s="4">
        <f>Tabela1[[#This Row],[Qtd]]*Tabela1[[#This Row],[Valor]]</f>
        <v>750</v>
      </c>
      <c r="L5" s="5"/>
      <c r="M5" s="5">
        <v>46156</v>
      </c>
      <c r="N5" s="8" t="s">
        <v>31</v>
      </c>
      <c r="O5" s="8" t="s">
        <v>32</v>
      </c>
      <c r="P5" s="8" t="s">
        <v>33</v>
      </c>
      <c r="Q5" s="8"/>
    </row>
    <row r="6" spans="1:17" x14ac:dyDescent="0.3">
      <c r="A6" s="9">
        <v>38</v>
      </c>
      <c r="B6" s="9" t="s">
        <v>40</v>
      </c>
      <c r="C6" s="9" t="s">
        <v>65</v>
      </c>
      <c r="D6" s="9" t="s">
        <v>126</v>
      </c>
      <c r="E6" s="14" t="s">
        <v>127</v>
      </c>
      <c r="F6" s="9" t="s">
        <v>18</v>
      </c>
      <c r="G6" s="9" t="s">
        <v>19</v>
      </c>
      <c r="H6" s="9" t="s">
        <v>28</v>
      </c>
      <c r="I6" s="6">
        <v>1</v>
      </c>
      <c r="J6" s="7">
        <v>3200</v>
      </c>
      <c r="K6" s="11">
        <f>Tabela1[[#This Row],[Qtd]]*Tabela1[[#This Row],[Valor]]</f>
        <v>3200</v>
      </c>
      <c r="L6" s="6"/>
      <c r="M6" s="12">
        <v>46157</v>
      </c>
      <c r="N6" s="9" t="s">
        <v>31</v>
      </c>
      <c r="O6" s="9" t="s">
        <v>108</v>
      </c>
      <c r="P6" s="9" t="s">
        <v>128</v>
      </c>
      <c r="Q6" s="9"/>
    </row>
    <row r="7" spans="1:17" x14ac:dyDescent="0.3">
      <c r="A7" s="9">
        <v>44</v>
      </c>
      <c r="B7" s="9" t="s">
        <v>40</v>
      </c>
      <c r="C7" s="9" t="s">
        <v>41</v>
      </c>
      <c r="D7" s="9" t="s">
        <v>90</v>
      </c>
      <c r="E7" s="14" t="s">
        <v>91</v>
      </c>
      <c r="F7" s="9" t="s">
        <v>18</v>
      </c>
      <c r="G7" s="9" t="s">
        <v>19</v>
      </c>
      <c r="H7" s="9" t="s">
        <v>28</v>
      </c>
      <c r="I7" s="6">
        <v>1</v>
      </c>
      <c r="J7" s="7">
        <v>2500</v>
      </c>
      <c r="K7" s="11">
        <f>Tabela1[[#This Row],[Qtd]]*Tabela1[[#This Row],[Valor]]</f>
        <v>2500</v>
      </c>
      <c r="L7" s="6"/>
      <c r="M7" s="5">
        <v>46156</v>
      </c>
      <c r="N7" s="9" t="s">
        <v>31</v>
      </c>
      <c r="O7" s="9" t="s">
        <v>86</v>
      </c>
      <c r="P7" s="9" t="s">
        <v>92</v>
      </c>
      <c r="Q7" s="9"/>
    </row>
    <row r="8" spans="1:17" x14ac:dyDescent="0.3">
      <c r="A8" s="9">
        <v>48</v>
      </c>
      <c r="B8" s="9" t="s">
        <v>40</v>
      </c>
      <c r="C8" s="9" t="s">
        <v>65</v>
      </c>
      <c r="D8" s="9" t="s">
        <v>177</v>
      </c>
      <c r="E8" s="14" t="s">
        <v>147</v>
      </c>
      <c r="F8" s="9" t="s">
        <v>18</v>
      </c>
      <c r="G8" s="9" t="s">
        <v>19</v>
      </c>
      <c r="H8" s="9" t="s">
        <v>28</v>
      </c>
      <c r="I8" s="6">
        <v>1</v>
      </c>
      <c r="J8" s="7">
        <v>2800</v>
      </c>
      <c r="K8" s="11">
        <f>Tabela1[[#This Row],[Qtd]]*Tabela1[[#This Row],[Valor]]</f>
        <v>2800</v>
      </c>
      <c r="L8" s="6"/>
      <c r="M8" s="12">
        <v>46157</v>
      </c>
      <c r="N8" s="9" t="s">
        <v>31</v>
      </c>
      <c r="O8" s="9" t="s">
        <v>108</v>
      </c>
      <c r="P8" s="9" t="s">
        <v>145</v>
      </c>
      <c r="Q8" s="9"/>
    </row>
    <row r="9" spans="1:17" x14ac:dyDescent="0.3">
      <c r="A9" s="9">
        <v>52</v>
      </c>
      <c r="B9" s="9" t="s">
        <v>40</v>
      </c>
      <c r="C9" s="9" t="s">
        <v>65</v>
      </c>
      <c r="D9" s="9" t="s">
        <v>66</v>
      </c>
      <c r="E9" s="14" t="s">
        <v>172</v>
      </c>
      <c r="F9" s="9" t="s">
        <v>18</v>
      </c>
      <c r="G9" s="9" t="s">
        <v>19</v>
      </c>
      <c r="H9" s="9" t="s">
        <v>28</v>
      </c>
      <c r="I9" s="6">
        <v>1</v>
      </c>
      <c r="J9" s="7">
        <v>1800</v>
      </c>
      <c r="K9" s="11">
        <f>Tabela1[[#This Row],[Qtd]]*Tabela1[[#This Row],[Valor]]</f>
        <v>1800</v>
      </c>
      <c r="L9" s="6"/>
      <c r="M9" s="12">
        <v>46160</v>
      </c>
      <c r="N9" s="9" t="s">
        <v>31</v>
      </c>
      <c r="O9" s="9" t="s">
        <v>165</v>
      </c>
      <c r="P9" s="9" t="s">
        <v>173</v>
      </c>
      <c r="Q9" s="9"/>
    </row>
    <row r="10" spans="1:17" x14ac:dyDescent="0.3">
      <c r="A10" s="9">
        <v>54</v>
      </c>
      <c r="B10" s="9" t="s">
        <v>40</v>
      </c>
      <c r="C10" s="9" t="s">
        <v>65</v>
      </c>
      <c r="D10" s="9" t="s">
        <v>66</v>
      </c>
      <c r="E10" s="14" t="s">
        <v>77</v>
      </c>
      <c r="F10" s="9" t="s">
        <v>18</v>
      </c>
      <c r="G10" s="9" t="s">
        <v>19</v>
      </c>
      <c r="H10" s="9" t="s">
        <v>28</v>
      </c>
      <c r="I10" s="1">
        <v>1</v>
      </c>
      <c r="J10" s="7">
        <v>3500</v>
      </c>
      <c r="K10" s="7">
        <f>Tabela1[[#This Row],[Qtd]]*Tabela1[[#This Row],[Valor]]</f>
        <v>3500</v>
      </c>
      <c r="L10" s="6"/>
      <c r="M10" s="5">
        <v>46156</v>
      </c>
      <c r="N10" s="9" t="s">
        <v>31</v>
      </c>
      <c r="O10" s="9" t="s">
        <v>39</v>
      </c>
      <c r="P10" s="9" t="s">
        <v>67</v>
      </c>
      <c r="Q10" s="8"/>
    </row>
    <row r="11" spans="1:17" x14ac:dyDescent="0.3">
      <c r="A11" s="9">
        <v>61</v>
      </c>
      <c r="B11" s="9" t="s">
        <v>40</v>
      </c>
      <c r="C11" s="9" t="s">
        <v>44</v>
      </c>
      <c r="D11" s="9" t="s">
        <v>133</v>
      </c>
      <c r="E11" s="14" t="s">
        <v>163</v>
      </c>
      <c r="F11" s="9" t="s">
        <v>18</v>
      </c>
      <c r="G11" s="9" t="s">
        <v>19</v>
      </c>
      <c r="H11" s="9" t="s">
        <v>28</v>
      </c>
      <c r="I11" s="6">
        <v>1</v>
      </c>
      <c r="J11" s="7">
        <v>1400</v>
      </c>
      <c r="K11" s="11">
        <f>Tabela1[[#This Row],[Qtd]]*Tabela1[[#This Row],[Valor]]</f>
        <v>1400</v>
      </c>
      <c r="L11" s="6"/>
      <c r="M11" s="12">
        <v>46157</v>
      </c>
      <c r="N11" s="9" t="s">
        <v>31</v>
      </c>
      <c r="O11" s="9" t="s">
        <v>108</v>
      </c>
      <c r="P11" s="9" t="s">
        <v>129</v>
      </c>
      <c r="Q11" s="9"/>
    </row>
    <row r="12" spans="1:17" x14ac:dyDescent="0.3">
      <c r="A12" s="9">
        <v>62</v>
      </c>
      <c r="B12" s="9" t="s">
        <v>40</v>
      </c>
      <c r="C12" s="9" t="s">
        <v>16</v>
      </c>
      <c r="D12" s="9" t="s">
        <v>140</v>
      </c>
      <c r="E12" s="14" t="s">
        <v>206</v>
      </c>
      <c r="F12" s="9" t="s">
        <v>18</v>
      </c>
      <c r="G12" s="9" t="s">
        <v>19</v>
      </c>
      <c r="H12" s="9" t="s">
        <v>28</v>
      </c>
      <c r="I12" s="6">
        <v>1</v>
      </c>
      <c r="J12" s="7">
        <v>1100</v>
      </c>
      <c r="K12" s="11">
        <f>Tabela1[[#This Row],[Qtd]]*Tabela1[[#This Row],[Valor]]</f>
        <v>1100</v>
      </c>
      <c r="L12" s="6"/>
      <c r="M12" s="12">
        <v>46157</v>
      </c>
      <c r="N12" s="9" t="s">
        <v>31</v>
      </c>
      <c r="O12" s="9" t="s">
        <v>108</v>
      </c>
      <c r="P12" s="9" t="s">
        <v>141</v>
      </c>
      <c r="Q12" s="9"/>
    </row>
    <row r="13" spans="1:17" x14ac:dyDescent="0.3">
      <c r="A13" s="9">
        <v>70</v>
      </c>
      <c r="B13" s="9" t="s">
        <v>40</v>
      </c>
      <c r="C13" s="9" t="s">
        <v>41</v>
      </c>
      <c r="D13" s="9" t="s">
        <v>49</v>
      </c>
      <c r="E13" s="14" t="s">
        <v>54</v>
      </c>
      <c r="F13" s="9" t="s">
        <v>18</v>
      </c>
      <c r="G13" s="9" t="s">
        <v>19</v>
      </c>
      <c r="H13" s="9" t="s">
        <v>28</v>
      </c>
      <c r="I13" s="1">
        <v>1</v>
      </c>
      <c r="J13" s="7">
        <v>1600</v>
      </c>
      <c r="K13" s="7">
        <f>Tabela1[[#This Row],[Qtd]]*Tabela1[[#This Row],[Valor]]</f>
        <v>1600</v>
      </c>
      <c r="L13" s="6"/>
      <c r="M13" s="5">
        <v>46156</v>
      </c>
      <c r="N13" s="9" t="s">
        <v>31</v>
      </c>
      <c r="O13" s="9" t="s">
        <v>39</v>
      </c>
      <c r="P13" s="9" t="s">
        <v>76</v>
      </c>
      <c r="Q13" s="8"/>
    </row>
    <row r="14" spans="1:17" ht="15.6" x14ac:dyDescent="0.3">
      <c r="A14" s="9">
        <v>73</v>
      </c>
      <c r="B14" s="9" t="s">
        <v>40</v>
      </c>
      <c r="C14" s="9" t="s">
        <v>44</v>
      </c>
      <c r="D14" s="15" t="s">
        <v>137</v>
      </c>
      <c r="E14" s="14" t="s">
        <v>138</v>
      </c>
      <c r="F14" s="9" t="s">
        <v>18</v>
      </c>
      <c r="G14" s="9" t="s">
        <v>19</v>
      </c>
      <c r="H14" s="9" t="s">
        <v>28</v>
      </c>
      <c r="I14" s="6">
        <v>1</v>
      </c>
      <c r="J14" s="7">
        <v>1500</v>
      </c>
      <c r="K14" s="11">
        <f>Tabela1[[#This Row],[Qtd]]*Tabela1[[#This Row],[Valor]]</f>
        <v>1500</v>
      </c>
      <c r="L14" s="6"/>
      <c r="M14" s="12">
        <v>46157</v>
      </c>
      <c r="N14" s="9" t="s">
        <v>31</v>
      </c>
      <c r="O14" s="9" t="s">
        <v>108</v>
      </c>
      <c r="P14" s="9" t="s">
        <v>157</v>
      </c>
      <c r="Q14" s="9"/>
    </row>
    <row r="15" spans="1:17" x14ac:dyDescent="0.3">
      <c r="A15" s="9">
        <v>76</v>
      </c>
      <c r="B15" s="9" t="s">
        <v>40</v>
      </c>
      <c r="C15" s="9" t="s">
        <v>41</v>
      </c>
      <c r="D15" s="9" t="s">
        <v>142</v>
      </c>
      <c r="E15" s="14" t="s">
        <v>143</v>
      </c>
      <c r="F15" s="9" t="s">
        <v>18</v>
      </c>
      <c r="G15" s="9" t="s">
        <v>19</v>
      </c>
      <c r="H15" s="9" t="s">
        <v>28</v>
      </c>
      <c r="I15" s="6">
        <v>1</v>
      </c>
      <c r="J15" s="7">
        <v>2000</v>
      </c>
      <c r="K15" s="11">
        <f>Tabela1[[#This Row],[Qtd]]*Tabela1[[#This Row],[Valor]]</f>
        <v>2000</v>
      </c>
      <c r="L15" s="6"/>
      <c r="M15" s="12">
        <v>46157</v>
      </c>
      <c r="N15" s="9" t="s">
        <v>31</v>
      </c>
      <c r="O15" s="9" t="s">
        <v>108</v>
      </c>
      <c r="P15" s="9" t="s">
        <v>157</v>
      </c>
      <c r="Q15" s="9"/>
    </row>
    <row r="16" spans="1:17" x14ac:dyDescent="0.3">
      <c r="A16" s="9">
        <v>79</v>
      </c>
      <c r="B16" s="9" t="s">
        <v>40</v>
      </c>
      <c r="C16" s="9" t="s">
        <v>41</v>
      </c>
      <c r="D16" s="9" t="s">
        <v>42</v>
      </c>
      <c r="E16" s="14" t="s">
        <v>43</v>
      </c>
      <c r="F16" s="9" t="s">
        <v>18</v>
      </c>
      <c r="G16" s="9" t="s">
        <v>19</v>
      </c>
      <c r="H16" s="9" t="s">
        <v>28</v>
      </c>
      <c r="I16" s="1">
        <v>1</v>
      </c>
      <c r="J16" s="7">
        <v>2400</v>
      </c>
      <c r="K16" s="7">
        <f>Tabela1[[#This Row],[Qtd]]*Tabela1[[#This Row],[Valor]]</f>
        <v>2400</v>
      </c>
      <c r="L16" s="6"/>
      <c r="M16" s="5">
        <v>46156</v>
      </c>
      <c r="N16" s="9" t="s">
        <v>31</v>
      </c>
      <c r="O16" s="9" t="s">
        <v>39</v>
      </c>
      <c r="P16" s="9" t="s">
        <v>50</v>
      </c>
      <c r="Q16" s="8"/>
    </row>
    <row r="17" spans="1:17" x14ac:dyDescent="0.3">
      <c r="A17" s="9">
        <v>83</v>
      </c>
      <c r="B17" s="9" t="s">
        <v>40</v>
      </c>
      <c r="C17" s="9" t="s">
        <v>65</v>
      </c>
      <c r="D17" s="9" t="s">
        <v>118</v>
      </c>
      <c r="E17" s="14" t="s">
        <v>207</v>
      </c>
      <c r="F17" s="9" t="s">
        <v>18</v>
      </c>
      <c r="G17" s="9" t="s">
        <v>19</v>
      </c>
      <c r="H17" s="9" t="s">
        <v>28</v>
      </c>
      <c r="I17" s="6">
        <v>1</v>
      </c>
      <c r="J17" s="7">
        <v>1500</v>
      </c>
      <c r="K17" s="11">
        <f>Tabela1[[#This Row],[Qtd]]*Tabela1[[#This Row],[Valor]]</f>
        <v>1500</v>
      </c>
      <c r="L17" s="6"/>
      <c r="M17" s="12">
        <v>46157</v>
      </c>
      <c r="N17" s="9" t="s">
        <v>31</v>
      </c>
      <c r="O17" s="9" t="s">
        <v>108</v>
      </c>
      <c r="P17" s="9" t="s">
        <v>119</v>
      </c>
      <c r="Q17" s="9" t="s">
        <v>102</v>
      </c>
    </row>
    <row r="18" spans="1:17" x14ac:dyDescent="0.3">
      <c r="A18" s="9">
        <v>84</v>
      </c>
      <c r="B18" s="9" t="s">
        <v>40</v>
      </c>
      <c r="C18" s="9" t="s">
        <v>44</v>
      </c>
      <c r="D18" s="9" t="s">
        <v>133</v>
      </c>
      <c r="E18" s="14" t="s">
        <v>134</v>
      </c>
      <c r="F18" s="9" t="s">
        <v>18</v>
      </c>
      <c r="G18" s="9" t="s">
        <v>19</v>
      </c>
      <c r="H18" s="9" t="s">
        <v>28</v>
      </c>
      <c r="I18" s="6">
        <v>1</v>
      </c>
      <c r="J18" s="7">
        <v>2000</v>
      </c>
      <c r="K18" s="11">
        <f>Tabela1[[#This Row],[Qtd]]*Tabela1[[#This Row],[Valor]]</f>
        <v>2000</v>
      </c>
      <c r="L18" s="6"/>
      <c r="M18" s="12">
        <v>46157</v>
      </c>
      <c r="N18" s="9" t="s">
        <v>31</v>
      </c>
      <c r="O18" s="9" t="s">
        <v>108</v>
      </c>
      <c r="P18" s="9" t="s">
        <v>135</v>
      </c>
      <c r="Q18" s="9" t="s">
        <v>174</v>
      </c>
    </row>
    <row r="19" spans="1:17" x14ac:dyDescent="0.3">
      <c r="A19" s="9">
        <v>101</v>
      </c>
      <c r="B19" s="9" t="s">
        <v>40</v>
      </c>
      <c r="C19" s="9" t="s">
        <v>44</v>
      </c>
      <c r="D19" s="9" t="s">
        <v>47</v>
      </c>
      <c r="E19" s="14" t="s">
        <v>162</v>
      </c>
      <c r="F19" s="9" t="s">
        <v>18</v>
      </c>
      <c r="G19" s="9" t="s">
        <v>19</v>
      </c>
      <c r="H19" s="9" t="s">
        <v>28</v>
      </c>
      <c r="I19" s="1">
        <v>1</v>
      </c>
      <c r="J19" s="7">
        <v>2800</v>
      </c>
      <c r="K19" s="7">
        <f>Tabela1[[#This Row],[Qtd]]*Tabela1[[#This Row],[Valor]]</f>
        <v>2800</v>
      </c>
      <c r="L19" s="6"/>
      <c r="M19" s="5">
        <v>46156</v>
      </c>
      <c r="N19" s="9" t="s">
        <v>31</v>
      </c>
      <c r="O19" s="9" t="s">
        <v>39</v>
      </c>
      <c r="P19" s="9" t="s">
        <v>45</v>
      </c>
      <c r="Q19" s="8"/>
    </row>
    <row r="20" spans="1:17" x14ac:dyDescent="0.3">
      <c r="A20" s="9">
        <v>102</v>
      </c>
      <c r="B20" s="9" t="s">
        <v>40</v>
      </c>
      <c r="C20" s="9" t="s">
        <v>44</v>
      </c>
      <c r="D20" s="9" t="s">
        <v>47</v>
      </c>
      <c r="E20" s="14" t="s">
        <v>46</v>
      </c>
      <c r="F20" s="9" t="s">
        <v>18</v>
      </c>
      <c r="G20" s="9" t="s">
        <v>19</v>
      </c>
      <c r="H20" s="9" t="s">
        <v>28</v>
      </c>
      <c r="I20" s="1">
        <v>1</v>
      </c>
      <c r="J20" s="7">
        <v>2800</v>
      </c>
      <c r="K20" s="7">
        <f>Tabela1[[#This Row],[Qtd]]*Tabela1[[#This Row],[Valor]]</f>
        <v>2800</v>
      </c>
      <c r="L20" s="6"/>
      <c r="M20" s="5">
        <v>46156</v>
      </c>
      <c r="N20" s="9" t="s">
        <v>31</v>
      </c>
      <c r="O20" s="9" t="s">
        <v>39</v>
      </c>
      <c r="P20" s="9" t="s">
        <v>68</v>
      </c>
      <c r="Q20" s="8"/>
    </row>
    <row r="21" spans="1:17" x14ac:dyDescent="0.3">
      <c r="A21" s="9">
        <v>103</v>
      </c>
      <c r="B21" s="9" t="s">
        <v>40</v>
      </c>
      <c r="C21" s="9" t="s">
        <v>41</v>
      </c>
      <c r="D21" s="9" t="s">
        <v>49</v>
      </c>
      <c r="E21" s="14" t="s">
        <v>160</v>
      </c>
      <c r="F21" s="9" t="s">
        <v>18</v>
      </c>
      <c r="G21" s="9" t="s">
        <v>19</v>
      </c>
      <c r="H21" s="9" t="s">
        <v>28</v>
      </c>
      <c r="I21" s="1">
        <v>1</v>
      </c>
      <c r="J21" s="7">
        <v>1600</v>
      </c>
      <c r="K21" s="7">
        <f>Tabela1[[#This Row],[Qtd]]*Tabela1[[#This Row],[Valor]]</f>
        <v>1600</v>
      </c>
      <c r="L21" s="6"/>
      <c r="M21" s="5">
        <v>46156</v>
      </c>
      <c r="N21" s="9" t="s">
        <v>31</v>
      </c>
      <c r="O21" s="9" t="s">
        <v>39</v>
      </c>
      <c r="P21" s="9" t="s">
        <v>48</v>
      </c>
      <c r="Q21" s="8"/>
    </row>
    <row r="22" spans="1:17" x14ac:dyDescent="0.3">
      <c r="A22" s="9">
        <v>104</v>
      </c>
      <c r="B22" s="9" t="s">
        <v>40</v>
      </c>
      <c r="C22" s="9" t="s">
        <v>53</v>
      </c>
      <c r="D22" s="9" t="s">
        <v>52</v>
      </c>
      <c r="E22" s="14" t="s">
        <v>51</v>
      </c>
      <c r="F22" s="9" t="s">
        <v>18</v>
      </c>
      <c r="G22" s="9" t="s">
        <v>19</v>
      </c>
      <c r="H22" s="9" t="s">
        <v>28</v>
      </c>
      <c r="I22" s="1">
        <v>1</v>
      </c>
      <c r="J22" s="7">
        <v>2700</v>
      </c>
      <c r="K22" s="7">
        <f>Tabela1[[#This Row],[Qtd]]*Tabela1[[#This Row],[Valor]]</f>
        <v>2700</v>
      </c>
      <c r="L22" s="6"/>
      <c r="M22" s="5">
        <v>46156</v>
      </c>
      <c r="N22" s="9" t="s">
        <v>31</v>
      </c>
      <c r="O22" s="9" t="s">
        <v>39</v>
      </c>
      <c r="P22" s="9" t="s">
        <v>50</v>
      </c>
      <c r="Q22" s="8"/>
    </row>
    <row r="23" spans="1:17" x14ac:dyDescent="0.3">
      <c r="A23" s="9">
        <v>105</v>
      </c>
      <c r="B23" s="9" t="s">
        <v>40</v>
      </c>
      <c r="C23" s="9" t="s">
        <v>44</v>
      </c>
      <c r="D23" s="9" t="s">
        <v>61</v>
      </c>
      <c r="E23" s="14" t="s">
        <v>161</v>
      </c>
      <c r="F23" s="9" t="s">
        <v>18</v>
      </c>
      <c r="G23" s="9" t="s">
        <v>19</v>
      </c>
      <c r="H23" s="9" t="s">
        <v>28</v>
      </c>
      <c r="I23" s="1">
        <v>1</v>
      </c>
      <c r="J23" s="7">
        <v>3200</v>
      </c>
      <c r="K23" s="7">
        <f>Tabela1[[#This Row],[Qtd]]*Tabela1[[#This Row],[Valor]]</f>
        <v>3200</v>
      </c>
      <c r="L23" s="6"/>
      <c r="M23" s="5">
        <v>46156</v>
      </c>
      <c r="N23" s="9" t="s">
        <v>31</v>
      </c>
      <c r="O23" s="9" t="s">
        <v>39</v>
      </c>
      <c r="P23" s="9" t="s">
        <v>55</v>
      </c>
      <c r="Q23" s="8"/>
    </row>
    <row r="24" spans="1:17" x14ac:dyDescent="0.3">
      <c r="A24" s="9">
        <v>106</v>
      </c>
      <c r="B24" s="9" t="s">
        <v>40</v>
      </c>
      <c r="C24" s="9" t="s">
        <v>44</v>
      </c>
      <c r="D24" s="9" t="s">
        <v>58</v>
      </c>
      <c r="E24" s="14" t="s">
        <v>56</v>
      </c>
      <c r="F24" s="9" t="s">
        <v>18</v>
      </c>
      <c r="G24" s="9" t="s">
        <v>19</v>
      </c>
      <c r="H24" s="9" t="s">
        <v>28</v>
      </c>
      <c r="I24" s="1">
        <v>1</v>
      </c>
      <c r="J24" s="7">
        <v>3200</v>
      </c>
      <c r="K24" s="7">
        <f>Tabela1[[#This Row],[Qtd]]*Tabela1[[#This Row],[Valor]]</f>
        <v>3200</v>
      </c>
      <c r="L24" s="6"/>
      <c r="M24" s="5">
        <v>46156</v>
      </c>
      <c r="N24" s="9" t="s">
        <v>31</v>
      </c>
      <c r="O24" s="9" t="s">
        <v>39</v>
      </c>
      <c r="P24" s="9" t="s">
        <v>57</v>
      </c>
      <c r="Q24" s="8"/>
    </row>
    <row r="25" spans="1:17" x14ac:dyDescent="0.3">
      <c r="A25" s="9">
        <v>107</v>
      </c>
      <c r="B25" s="9" t="s">
        <v>40</v>
      </c>
      <c r="C25" s="9" t="s">
        <v>44</v>
      </c>
      <c r="D25" s="9" t="s">
        <v>61</v>
      </c>
      <c r="E25" s="14" t="s">
        <v>60</v>
      </c>
      <c r="F25" s="9" t="s">
        <v>18</v>
      </c>
      <c r="G25" s="9" t="s">
        <v>19</v>
      </c>
      <c r="H25" s="9" t="s">
        <v>28</v>
      </c>
      <c r="I25" s="1">
        <v>1</v>
      </c>
      <c r="J25" s="7">
        <v>3200</v>
      </c>
      <c r="K25" s="7">
        <f>Tabela1[[#This Row],[Qtd]]*Tabela1[[#This Row],[Valor]]</f>
        <v>3200</v>
      </c>
      <c r="L25" s="6"/>
      <c r="M25" s="5">
        <v>46156</v>
      </c>
      <c r="N25" s="9" t="s">
        <v>31</v>
      </c>
      <c r="O25" s="9" t="s">
        <v>39</v>
      </c>
      <c r="P25" s="9" t="s">
        <v>59</v>
      </c>
      <c r="Q25" s="8"/>
    </row>
    <row r="26" spans="1:17" x14ac:dyDescent="0.3">
      <c r="A26" s="9">
        <v>108</v>
      </c>
      <c r="B26" s="9" t="s">
        <v>40</v>
      </c>
      <c r="C26" s="9" t="s">
        <v>41</v>
      </c>
      <c r="D26" s="9" t="s">
        <v>62</v>
      </c>
      <c r="E26" s="14" t="s">
        <v>63</v>
      </c>
      <c r="F26" s="9" t="s">
        <v>18</v>
      </c>
      <c r="G26" s="9" t="s">
        <v>19</v>
      </c>
      <c r="H26" s="9" t="s">
        <v>28</v>
      </c>
      <c r="I26" s="1">
        <v>1</v>
      </c>
      <c r="J26" s="7">
        <v>2600</v>
      </c>
      <c r="K26" s="7">
        <f>Tabela1[[#This Row],[Qtd]]*Tabela1[[#This Row],[Valor]]</f>
        <v>2600</v>
      </c>
      <c r="L26" s="6"/>
      <c r="M26" s="5">
        <v>46156</v>
      </c>
      <c r="N26" s="9" t="s">
        <v>31</v>
      </c>
      <c r="O26" s="9" t="s">
        <v>39</v>
      </c>
      <c r="P26" s="9" t="s">
        <v>64</v>
      </c>
      <c r="Q26" s="8"/>
    </row>
    <row r="27" spans="1:17" x14ac:dyDescent="0.3">
      <c r="A27" s="9">
        <v>109</v>
      </c>
      <c r="B27" s="9" t="s">
        <v>40</v>
      </c>
      <c r="C27" s="9" t="s">
        <v>44</v>
      </c>
      <c r="D27" s="9" t="s">
        <v>61</v>
      </c>
      <c r="E27" s="14" t="s">
        <v>84</v>
      </c>
      <c r="F27" s="9" t="s">
        <v>18</v>
      </c>
      <c r="G27" s="9" t="s">
        <v>19</v>
      </c>
      <c r="H27" s="9" t="s">
        <v>28</v>
      </c>
      <c r="I27" s="6">
        <v>1</v>
      </c>
      <c r="J27" s="7">
        <v>3200</v>
      </c>
      <c r="K27" s="11">
        <f>Tabela1[[#This Row],[Qtd]]*Tabela1[[#This Row],[Valor]]</f>
        <v>3200</v>
      </c>
      <c r="L27" s="6"/>
      <c r="M27" s="5">
        <v>46156</v>
      </c>
      <c r="N27" s="9" t="s">
        <v>31</v>
      </c>
      <c r="O27" s="9" t="s">
        <v>86</v>
      </c>
      <c r="P27" s="9" t="s">
        <v>85</v>
      </c>
      <c r="Q27" s="9"/>
    </row>
    <row r="28" spans="1:17" x14ac:dyDescent="0.3">
      <c r="A28" s="9">
        <v>110</v>
      </c>
      <c r="B28" s="9" t="s">
        <v>69</v>
      </c>
      <c r="C28" s="9" t="s">
        <v>70</v>
      </c>
      <c r="D28" s="9" t="s">
        <v>71</v>
      </c>
      <c r="E28" s="14"/>
      <c r="F28" s="9" t="s">
        <v>38</v>
      </c>
      <c r="G28" s="9" t="s">
        <v>20</v>
      </c>
      <c r="H28" s="9" t="s">
        <v>28</v>
      </c>
      <c r="I28" s="6">
        <v>11</v>
      </c>
      <c r="J28" s="7">
        <v>750</v>
      </c>
      <c r="K28" s="7">
        <f>Tabela1[[#This Row],[Qtd]]*Tabela1[[#This Row],[Valor]]</f>
        <v>8250</v>
      </c>
      <c r="L28" s="6"/>
      <c r="M28" s="5">
        <v>46156</v>
      </c>
      <c r="N28" s="9" t="s">
        <v>31</v>
      </c>
      <c r="O28" s="9" t="s">
        <v>39</v>
      </c>
      <c r="P28" s="9" t="s">
        <v>50</v>
      </c>
      <c r="Q28" s="8"/>
    </row>
    <row r="29" spans="1:17" x14ac:dyDescent="0.3">
      <c r="A29" s="9">
        <v>111</v>
      </c>
      <c r="B29" s="9" t="s">
        <v>37</v>
      </c>
      <c r="C29" s="9" t="s">
        <v>156</v>
      </c>
      <c r="D29" s="9" t="s">
        <v>73</v>
      </c>
      <c r="E29" s="14"/>
      <c r="F29" s="9" t="s">
        <v>38</v>
      </c>
      <c r="G29" s="9" t="s">
        <v>20</v>
      </c>
      <c r="H29" s="9" t="s">
        <v>28</v>
      </c>
      <c r="I29" s="6">
        <v>12</v>
      </c>
      <c r="J29" s="7">
        <v>350</v>
      </c>
      <c r="K29" s="7">
        <f>Tabela1[[#This Row],[Qtd]]*Tabela1[[#This Row],[Valor]]</f>
        <v>4200</v>
      </c>
      <c r="L29" s="6"/>
      <c r="M29" s="5">
        <v>46156</v>
      </c>
      <c r="N29" s="9" t="s">
        <v>31</v>
      </c>
      <c r="O29" s="9" t="s">
        <v>39</v>
      </c>
      <c r="P29" s="9" t="s">
        <v>50</v>
      </c>
      <c r="Q29" s="8"/>
    </row>
    <row r="30" spans="1:17" x14ac:dyDescent="0.3">
      <c r="A30" s="9">
        <v>112</v>
      </c>
      <c r="B30" s="9" t="s">
        <v>40</v>
      </c>
      <c r="C30" s="9" t="s">
        <v>44</v>
      </c>
      <c r="D30" s="9" t="s">
        <v>61</v>
      </c>
      <c r="E30" s="14" t="s">
        <v>93</v>
      </c>
      <c r="F30" s="9" t="s">
        <v>18</v>
      </c>
      <c r="G30" s="9" t="s">
        <v>19</v>
      </c>
      <c r="H30" s="9" t="s">
        <v>28</v>
      </c>
      <c r="I30" s="6">
        <v>1</v>
      </c>
      <c r="J30" s="7">
        <v>3200</v>
      </c>
      <c r="K30" s="11">
        <f>Tabela1[[#This Row],[Qtd]]*Tabela1[[#This Row],[Valor]]</f>
        <v>3200</v>
      </c>
      <c r="L30" s="6"/>
      <c r="M30" s="5">
        <v>46156</v>
      </c>
      <c r="N30" s="9" t="s">
        <v>31</v>
      </c>
      <c r="O30" s="9" t="s">
        <v>86</v>
      </c>
      <c r="P30" s="9" t="s">
        <v>94</v>
      </c>
      <c r="Q30" s="9" t="s">
        <v>102</v>
      </c>
    </row>
    <row r="31" spans="1:17" x14ac:dyDescent="0.3">
      <c r="A31" s="9">
        <v>113</v>
      </c>
      <c r="B31" s="9" t="s">
        <v>69</v>
      </c>
      <c r="C31" s="9" t="s">
        <v>70</v>
      </c>
      <c r="D31" s="9" t="s">
        <v>71</v>
      </c>
      <c r="E31" s="14"/>
      <c r="F31" s="9" t="s">
        <v>38</v>
      </c>
      <c r="G31" s="9" t="s">
        <v>20</v>
      </c>
      <c r="H31" s="9" t="s">
        <v>28</v>
      </c>
      <c r="I31" s="6">
        <v>10</v>
      </c>
      <c r="J31" s="7">
        <v>750</v>
      </c>
      <c r="K31" s="11">
        <f>Tabela1[[#This Row],[Qtd]]*Tabela1[[#This Row],[Valor]]</f>
        <v>7500</v>
      </c>
      <c r="L31" s="6"/>
      <c r="M31" s="5">
        <v>46156</v>
      </c>
      <c r="N31" s="9" t="s">
        <v>31</v>
      </c>
      <c r="O31" s="9" t="s">
        <v>86</v>
      </c>
      <c r="P31" s="9" t="s">
        <v>101</v>
      </c>
      <c r="Q31" s="9"/>
    </row>
    <row r="32" spans="1:17" x14ac:dyDescent="0.3">
      <c r="A32" s="9">
        <v>114</v>
      </c>
      <c r="B32" s="9" t="s">
        <v>40</v>
      </c>
      <c r="C32" s="9" t="s">
        <v>41</v>
      </c>
      <c r="D32" s="9" t="s">
        <v>90</v>
      </c>
      <c r="E32" s="14" t="s">
        <v>99</v>
      </c>
      <c r="F32" s="9" t="s">
        <v>18</v>
      </c>
      <c r="G32" s="9" t="s">
        <v>19</v>
      </c>
      <c r="H32" s="9" t="s">
        <v>28</v>
      </c>
      <c r="I32" s="6">
        <v>1</v>
      </c>
      <c r="J32" s="7">
        <v>2500</v>
      </c>
      <c r="K32" s="11">
        <f>Tabela1[[#This Row],[Qtd]]*Tabela1[[#This Row],[Valor]]</f>
        <v>2500</v>
      </c>
      <c r="L32" s="6"/>
      <c r="M32" s="12">
        <v>46156</v>
      </c>
      <c r="N32" s="9" t="s">
        <v>31</v>
      </c>
      <c r="O32" s="9" t="s">
        <v>86</v>
      </c>
      <c r="P32" s="9" t="s">
        <v>100</v>
      </c>
      <c r="Q32" s="9"/>
    </row>
    <row r="33" spans="1:17" x14ac:dyDescent="0.3">
      <c r="A33" s="9">
        <v>115</v>
      </c>
      <c r="B33" s="9" t="s">
        <v>37</v>
      </c>
      <c r="C33" s="9" t="s">
        <v>156</v>
      </c>
      <c r="D33" s="9" t="s">
        <v>164</v>
      </c>
      <c r="E33" s="14"/>
      <c r="F33" s="9" t="s">
        <v>38</v>
      </c>
      <c r="G33" s="9" t="s">
        <v>20</v>
      </c>
      <c r="H33" s="9" t="s">
        <v>28</v>
      </c>
      <c r="I33" s="6">
        <v>1</v>
      </c>
      <c r="J33" s="7">
        <v>1500</v>
      </c>
      <c r="K33" s="11">
        <f>Tabela1[[#This Row],[Qtd]]*Tabela1[[#This Row],[Valor]]</f>
        <v>1500</v>
      </c>
      <c r="L33" s="6"/>
      <c r="M33" s="12">
        <v>46156</v>
      </c>
      <c r="N33" s="9" t="s">
        <v>31</v>
      </c>
      <c r="O33" s="9" t="s">
        <v>86</v>
      </c>
      <c r="P33" s="9" t="s">
        <v>97</v>
      </c>
      <c r="Q33" s="9"/>
    </row>
    <row r="34" spans="1:17" x14ac:dyDescent="0.3">
      <c r="A34" s="9">
        <v>116</v>
      </c>
      <c r="B34" s="9" t="s">
        <v>37</v>
      </c>
      <c r="C34" s="9" t="s">
        <v>156</v>
      </c>
      <c r="D34" s="9" t="s">
        <v>98</v>
      </c>
      <c r="E34" s="14"/>
      <c r="F34" s="9" t="s">
        <v>38</v>
      </c>
      <c r="G34" s="9" t="s">
        <v>20</v>
      </c>
      <c r="H34" s="9" t="s">
        <v>28</v>
      </c>
      <c r="I34" s="6">
        <v>9</v>
      </c>
      <c r="J34" s="7">
        <v>600</v>
      </c>
      <c r="K34" s="11">
        <f>Tabela1[[#This Row],[Qtd]]*Tabela1[[#This Row],[Valor]]</f>
        <v>5400</v>
      </c>
      <c r="L34" s="6"/>
      <c r="M34" s="12">
        <v>46156</v>
      </c>
      <c r="N34" s="9" t="s">
        <v>31</v>
      </c>
      <c r="O34" s="9" t="s">
        <v>86</v>
      </c>
      <c r="P34" s="9" t="s">
        <v>101</v>
      </c>
      <c r="Q34" s="9"/>
    </row>
    <row r="35" spans="1:17" x14ac:dyDescent="0.3">
      <c r="A35" s="9">
        <v>117</v>
      </c>
      <c r="B35" s="9" t="s">
        <v>105</v>
      </c>
      <c r="C35" s="9" t="s">
        <v>156</v>
      </c>
      <c r="D35" s="9" t="s">
        <v>106</v>
      </c>
      <c r="E35" s="14"/>
      <c r="F35" s="9" t="s">
        <v>38</v>
      </c>
      <c r="G35" s="9" t="s">
        <v>20</v>
      </c>
      <c r="H35" s="9" t="s">
        <v>28</v>
      </c>
      <c r="I35" s="6">
        <v>5</v>
      </c>
      <c r="J35" s="7">
        <v>450</v>
      </c>
      <c r="K35" s="11">
        <f>Tabela1[[#This Row],[Qtd]]*Tabela1[[#This Row],[Valor]]</f>
        <v>2250</v>
      </c>
      <c r="L35" s="6"/>
      <c r="M35" s="12">
        <v>46156</v>
      </c>
      <c r="N35" s="9" t="s">
        <v>31</v>
      </c>
      <c r="O35" s="9" t="s">
        <v>86</v>
      </c>
      <c r="P35" s="9" t="s">
        <v>101</v>
      </c>
      <c r="Q35" s="9"/>
    </row>
    <row r="36" spans="1:17" x14ac:dyDescent="0.3">
      <c r="A36" s="9">
        <v>118</v>
      </c>
      <c r="B36" s="9" t="s">
        <v>103</v>
      </c>
      <c r="C36" s="9" t="s">
        <v>156</v>
      </c>
      <c r="D36" s="9" t="s">
        <v>104</v>
      </c>
      <c r="E36" s="14"/>
      <c r="F36" s="9" t="s">
        <v>38</v>
      </c>
      <c r="G36" s="9" t="s">
        <v>20</v>
      </c>
      <c r="H36" s="9" t="s">
        <v>28</v>
      </c>
      <c r="I36" s="6">
        <v>1</v>
      </c>
      <c r="J36" s="7">
        <v>1200</v>
      </c>
      <c r="K36" s="11">
        <f>Tabela1[[#This Row],[Qtd]]*Tabela1[[#This Row],[Valor]]</f>
        <v>1200</v>
      </c>
      <c r="L36" s="6"/>
      <c r="M36" s="12">
        <v>46156</v>
      </c>
      <c r="N36" s="9" t="s">
        <v>31</v>
      </c>
      <c r="O36" s="9" t="s">
        <v>86</v>
      </c>
      <c r="P36" s="9" t="s">
        <v>101</v>
      </c>
      <c r="Q36" s="9"/>
    </row>
    <row r="37" spans="1:17" x14ac:dyDescent="0.3">
      <c r="A37" s="9">
        <v>119</v>
      </c>
      <c r="B37" s="9" t="s">
        <v>105</v>
      </c>
      <c r="C37" s="9" t="s">
        <v>156</v>
      </c>
      <c r="D37" s="9" t="s">
        <v>107</v>
      </c>
      <c r="E37" s="14"/>
      <c r="F37" s="9" t="s">
        <v>38</v>
      </c>
      <c r="G37" s="9" t="s">
        <v>20</v>
      </c>
      <c r="H37" s="9" t="s">
        <v>28</v>
      </c>
      <c r="I37" s="6">
        <v>1</v>
      </c>
      <c r="J37" s="7">
        <v>1900</v>
      </c>
      <c r="K37" s="11">
        <f>Tabela1[[#This Row],[Qtd]]*Tabela1[[#This Row],[Valor]]</f>
        <v>1900</v>
      </c>
      <c r="L37" s="6"/>
      <c r="M37" s="12">
        <v>46156</v>
      </c>
      <c r="N37" s="9" t="s">
        <v>31</v>
      </c>
      <c r="O37" s="9" t="s">
        <v>86</v>
      </c>
      <c r="P37" s="9" t="s">
        <v>101</v>
      </c>
      <c r="Q37" s="9"/>
    </row>
    <row r="38" spans="1:17" x14ac:dyDescent="0.3">
      <c r="A38" s="9">
        <v>120</v>
      </c>
      <c r="B38" s="9" t="s">
        <v>40</v>
      </c>
      <c r="C38" s="9" t="s">
        <v>41</v>
      </c>
      <c r="D38" s="9" t="s">
        <v>62</v>
      </c>
      <c r="E38" s="14" t="s">
        <v>109</v>
      </c>
      <c r="F38" s="9" t="s">
        <v>18</v>
      </c>
      <c r="G38" s="9" t="s">
        <v>19</v>
      </c>
      <c r="H38" s="9" t="s">
        <v>28</v>
      </c>
      <c r="I38" s="6">
        <v>1</v>
      </c>
      <c r="J38" s="7">
        <v>2600</v>
      </c>
      <c r="K38" s="11">
        <f>Tabela1[[#This Row],[Qtd]]*Tabela1[[#This Row],[Valor]]</f>
        <v>2600</v>
      </c>
      <c r="L38" s="6"/>
      <c r="M38" s="12">
        <v>46157</v>
      </c>
      <c r="N38" s="9" t="s">
        <v>31</v>
      </c>
      <c r="O38" s="9" t="s">
        <v>108</v>
      </c>
      <c r="P38" s="9" t="s">
        <v>110</v>
      </c>
      <c r="Q38" s="9"/>
    </row>
    <row r="39" spans="1:17" x14ac:dyDescent="0.3">
      <c r="A39" s="9">
        <v>121</v>
      </c>
      <c r="B39" s="9" t="s">
        <v>40</v>
      </c>
      <c r="C39" s="9" t="s">
        <v>65</v>
      </c>
      <c r="D39" s="9" t="s">
        <v>111</v>
      </c>
      <c r="E39" s="14" t="s">
        <v>112</v>
      </c>
      <c r="F39" s="9" t="s">
        <v>18</v>
      </c>
      <c r="G39" s="9" t="s">
        <v>19</v>
      </c>
      <c r="H39" s="9" t="s">
        <v>28</v>
      </c>
      <c r="I39" s="6">
        <v>1</v>
      </c>
      <c r="J39" s="7">
        <v>2000</v>
      </c>
      <c r="K39" s="11">
        <f>Tabela1[[#This Row],[Qtd]]*Tabela1[[#This Row],[Valor]]</f>
        <v>2000</v>
      </c>
      <c r="L39" s="6"/>
      <c r="M39" s="12">
        <v>46157</v>
      </c>
      <c r="N39" s="9" t="s">
        <v>31</v>
      </c>
      <c r="O39" s="9" t="s">
        <v>108</v>
      </c>
      <c r="P39" s="9" t="s">
        <v>113</v>
      </c>
      <c r="Q39" s="9"/>
    </row>
    <row r="40" spans="1:17" x14ac:dyDescent="0.3">
      <c r="A40" s="9">
        <v>122</v>
      </c>
      <c r="B40" s="9" t="s">
        <v>40</v>
      </c>
      <c r="C40" s="9" t="s">
        <v>41</v>
      </c>
      <c r="D40" s="9" t="s">
        <v>62</v>
      </c>
      <c r="E40" s="14" t="s">
        <v>114</v>
      </c>
      <c r="F40" s="9" t="s">
        <v>18</v>
      </c>
      <c r="G40" s="9" t="s">
        <v>19</v>
      </c>
      <c r="H40" s="9" t="s">
        <v>28</v>
      </c>
      <c r="I40" s="6">
        <v>1</v>
      </c>
      <c r="J40" s="7">
        <v>2600</v>
      </c>
      <c r="K40" s="11">
        <f>Tabela1[[#This Row],[Qtd]]*Tabela1[[#This Row],[Valor]]</f>
        <v>2600</v>
      </c>
      <c r="L40" s="6"/>
      <c r="M40" s="12">
        <v>46157</v>
      </c>
      <c r="N40" s="9" t="s">
        <v>31</v>
      </c>
      <c r="O40" s="9" t="s">
        <v>108</v>
      </c>
      <c r="P40" s="9" t="s">
        <v>115</v>
      </c>
      <c r="Q40" s="9"/>
    </row>
    <row r="41" spans="1:17" x14ac:dyDescent="0.3">
      <c r="A41" s="9">
        <v>123</v>
      </c>
      <c r="B41" s="9" t="s">
        <v>40</v>
      </c>
      <c r="C41" s="9" t="s">
        <v>41</v>
      </c>
      <c r="D41" s="9" t="s">
        <v>158</v>
      </c>
      <c r="E41" s="14" t="s">
        <v>116</v>
      </c>
      <c r="F41" s="9" t="s">
        <v>18</v>
      </c>
      <c r="G41" s="9" t="s">
        <v>19</v>
      </c>
      <c r="H41" s="9" t="s">
        <v>28</v>
      </c>
      <c r="I41" s="6">
        <v>1</v>
      </c>
      <c r="J41" s="7">
        <v>1900</v>
      </c>
      <c r="K41" s="11">
        <f>Tabela1[[#This Row],[Qtd]]*Tabela1[[#This Row],[Valor]]</f>
        <v>1900</v>
      </c>
      <c r="L41" s="6"/>
      <c r="M41" s="12">
        <v>46157</v>
      </c>
      <c r="N41" s="9" t="s">
        <v>31</v>
      </c>
      <c r="O41" s="9" t="s">
        <v>108</v>
      </c>
      <c r="P41" s="9" t="s">
        <v>117</v>
      </c>
      <c r="Q41" s="9"/>
    </row>
    <row r="42" spans="1:17" x14ac:dyDescent="0.3">
      <c r="A42" s="9">
        <v>124</v>
      </c>
      <c r="B42" s="9" t="s">
        <v>40</v>
      </c>
      <c r="C42" s="9" t="s">
        <v>44</v>
      </c>
      <c r="D42" s="9" t="s">
        <v>61</v>
      </c>
      <c r="E42" s="14" t="s">
        <v>121</v>
      </c>
      <c r="F42" s="9" t="s">
        <v>18</v>
      </c>
      <c r="G42" s="9" t="s">
        <v>19</v>
      </c>
      <c r="H42" s="9" t="s">
        <v>28</v>
      </c>
      <c r="I42" s="6">
        <v>1</v>
      </c>
      <c r="J42" s="7">
        <v>3200</v>
      </c>
      <c r="K42" s="11">
        <f>Tabela1[[#This Row],[Qtd]]*Tabela1[[#This Row],[Valor]]</f>
        <v>3200</v>
      </c>
      <c r="L42" s="6"/>
      <c r="M42" s="12">
        <v>46157</v>
      </c>
      <c r="N42" s="9" t="s">
        <v>31</v>
      </c>
      <c r="O42" s="9" t="s">
        <v>108</v>
      </c>
      <c r="P42" s="9" t="s">
        <v>120</v>
      </c>
      <c r="Q42" s="9"/>
    </row>
    <row r="43" spans="1:17" x14ac:dyDescent="0.3">
      <c r="A43" s="9">
        <v>125</v>
      </c>
      <c r="B43" s="9" t="s">
        <v>40</v>
      </c>
      <c r="C43" s="9" t="s">
        <v>44</v>
      </c>
      <c r="D43" s="9" t="s">
        <v>61</v>
      </c>
      <c r="E43" s="14" t="s">
        <v>122</v>
      </c>
      <c r="F43" s="9" t="s">
        <v>18</v>
      </c>
      <c r="G43" s="9" t="s">
        <v>19</v>
      </c>
      <c r="H43" s="9" t="s">
        <v>28</v>
      </c>
      <c r="I43" s="6">
        <v>1</v>
      </c>
      <c r="J43" s="7">
        <v>3200</v>
      </c>
      <c r="K43" s="11">
        <f>Tabela1[[#This Row],[Qtd]]*Tabela1[[#This Row],[Valor]]</f>
        <v>3200</v>
      </c>
      <c r="L43" s="6"/>
      <c r="M43" s="12">
        <v>46157</v>
      </c>
      <c r="N43" s="9" t="s">
        <v>31</v>
      </c>
      <c r="O43" s="9" t="s">
        <v>108</v>
      </c>
      <c r="P43" s="9" t="s">
        <v>123</v>
      </c>
      <c r="Q43" s="9"/>
    </row>
    <row r="44" spans="1:17" x14ac:dyDescent="0.3">
      <c r="A44" s="9">
        <v>126</v>
      </c>
      <c r="B44" s="9" t="s">
        <v>40</v>
      </c>
      <c r="C44" s="9" t="s">
        <v>41</v>
      </c>
      <c r="D44" s="9" t="s">
        <v>62</v>
      </c>
      <c r="E44" s="14" t="s">
        <v>124</v>
      </c>
      <c r="F44" s="9" t="s">
        <v>18</v>
      </c>
      <c r="G44" s="9" t="s">
        <v>19</v>
      </c>
      <c r="H44" s="9" t="s">
        <v>28</v>
      </c>
      <c r="I44" s="6">
        <v>1</v>
      </c>
      <c r="J44" s="7">
        <v>2600</v>
      </c>
      <c r="K44" s="11">
        <f>Tabela1[[#This Row],[Qtd]]*Tabela1[[#This Row],[Valor]]</f>
        <v>2600</v>
      </c>
      <c r="L44" s="6"/>
      <c r="M44" s="12">
        <v>46157</v>
      </c>
      <c r="N44" s="9" t="s">
        <v>31</v>
      </c>
      <c r="O44" s="9" t="s">
        <v>108</v>
      </c>
      <c r="P44" s="9" t="s">
        <v>125</v>
      </c>
      <c r="Q44" s="9"/>
    </row>
    <row r="45" spans="1:17" x14ac:dyDescent="0.3">
      <c r="A45" s="9">
        <v>127</v>
      </c>
      <c r="B45" s="9" t="s">
        <v>40</v>
      </c>
      <c r="C45" s="9" t="s">
        <v>44</v>
      </c>
      <c r="D45" s="9" t="s">
        <v>130</v>
      </c>
      <c r="E45" s="14" t="s">
        <v>131</v>
      </c>
      <c r="F45" s="9" t="s">
        <v>18</v>
      </c>
      <c r="G45" s="9" t="s">
        <v>19</v>
      </c>
      <c r="H45" s="9" t="s">
        <v>28</v>
      </c>
      <c r="I45" s="6">
        <v>1</v>
      </c>
      <c r="J45" s="7">
        <v>2000</v>
      </c>
      <c r="K45" s="11">
        <f>Tabela1[[#This Row],[Qtd]]*Tabela1[[#This Row],[Valor]]</f>
        <v>2000</v>
      </c>
      <c r="L45" s="6"/>
      <c r="M45" s="12">
        <v>46157</v>
      </c>
      <c r="N45" s="9" t="s">
        <v>31</v>
      </c>
      <c r="O45" s="9" t="s">
        <v>108</v>
      </c>
      <c r="P45" s="9" t="s">
        <v>132</v>
      </c>
      <c r="Q45" s="9"/>
    </row>
    <row r="46" spans="1:17" x14ac:dyDescent="0.3">
      <c r="A46" s="9">
        <v>128</v>
      </c>
      <c r="B46" s="9" t="s">
        <v>40</v>
      </c>
      <c r="C46" s="9" t="s">
        <v>65</v>
      </c>
      <c r="D46" s="9" t="s">
        <v>178</v>
      </c>
      <c r="E46" s="14" t="s">
        <v>139</v>
      </c>
      <c r="F46" s="9" t="s">
        <v>18</v>
      </c>
      <c r="G46" s="9" t="s">
        <v>19</v>
      </c>
      <c r="H46" s="9" t="s">
        <v>28</v>
      </c>
      <c r="I46" s="6">
        <v>1</v>
      </c>
      <c r="J46" s="7">
        <v>1600</v>
      </c>
      <c r="K46" s="11">
        <f>Tabela1[[#This Row],[Qtd]]*Tabela1[[#This Row],[Valor]]</f>
        <v>1600</v>
      </c>
      <c r="L46" s="6"/>
      <c r="M46" s="12">
        <v>46157</v>
      </c>
      <c r="N46" s="9" t="s">
        <v>31</v>
      </c>
      <c r="O46" s="9" t="s">
        <v>108</v>
      </c>
      <c r="P46" s="9" t="s">
        <v>136</v>
      </c>
      <c r="Q46" s="9"/>
    </row>
    <row r="47" spans="1:17" x14ac:dyDescent="0.3">
      <c r="A47" s="9">
        <v>129</v>
      </c>
      <c r="B47" s="9" t="s">
        <v>40</v>
      </c>
      <c r="C47" s="9" t="s">
        <v>41</v>
      </c>
      <c r="D47" s="9" t="s">
        <v>146</v>
      </c>
      <c r="E47" s="14" t="s">
        <v>159</v>
      </c>
      <c r="F47" s="9" t="s">
        <v>18</v>
      </c>
      <c r="G47" s="9" t="s">
        <v>19</v>
      </c>
      <c r="H47" s="9" t="s">
        <v>28</v>
      </c>
      <c r="I47" s="6">
        <v>1</v>
      </c>
      <c r="J47" s="7">
        <v>2500</v>
      </c>
      <c r="K47" s="11">
        <f>Tabela1[[#This Row],[Qtd]]*Tabela1[[#This Row],[Valor]]</f>
        <v>2500</v>
      </c>
      <c r="L47" s="6"/>
      <c r="M47" s="12">
        <v>46157</v>
      </c>
      <c r="N47" s="9" t="s">
        <v>31</v>
      </c>
      <c r="O47" s="9" t="s">
        <v>108</v>
      </c>
      <c r="P47" s="9" t="s">
        <v>144</v>
      </c>
      <c r="Q47" s="9"/>
    </row>
    <row r="48" spans="1:17" x14ac:dyDescent="0.3">
      <c r="A48" s="9">
        <v>130</v>
      </c>
      <c r="B48" s="9" t="s">
        <v>69</v>
      </c>
      <c r="C48" s="9" t="s">
        <v>70</v>
      </c>
      <c r="D48" s="9" t="s">
        <v>71</v>
      </c>
      <c r="E48" s="14"/>
      <c r="F48" s="9" t="s">
        <v>38</v>
      </c>
      <c r="G48" s="9" t="s">
        <v>20</v>
      </c>
      <c r="H48" s="9" t="s">
        <v>28</v>
      </c>
      <c r="I48" s="6">
        <v>21</v>
      </c>
      <c r="J48" s="7">
        <v>750</v>
      </c>
      <c r="K48" s="11">
        <f>Tabela1[[#This Row],[Qtd]]*Tabela1[[#This Row],[Valor]]</f>
        <v>15750</v>
      </c>
      <c r="L48" s="6"/>
      <c r="M48" s="12">
        <v>46157</v>
      </c>
      <c r="N48" s="9" t="s">
        <v>31</v>
      </c>
      <c r="O48" s="9" t="s">
        <v>108</v>
      </c>
      <c r="P48" s="9" t="s">
        <v>157</v>
      </c>
      <c r="Q48" s="9"/>
    </row>
    <row r="49" spans="1:17" x14ac:dyDescent="0.3">
      <c r="A49" s="9">
        <v>131</v>
      </c>
      <c r="B49" s="9" t="s">
        <v>37</v>
      </c>
      <c r="C49" s="9" t="s">
        <v>156</v>
      </c>
      <c r="D49" s="9" t="s">
        <v>148</v>
      </c>
      <c r="E49" s="14"/>
      <c r="F49" s="9" t="s">
        <v>38</v>
      </c>
      <c r="G49" s="9" t="s">
        <v>20</v>
      </c>
      <c r="H49" s="9" t="s">
        <v>28</v>
      </c>
      <c r="I49" s="6">
        <v>21</v>
      </c>
      <c r="J49" s="7">
        <v>400</v>
      </c>
      <c r="K49" s="11">
        <f>Tabela1[[#This Row],[Qtd]]*Tabela1[[#This Row],[Valor]]</f>
        <v>8400</v>
      </c>
      <c r="L49" s="6"/>
      <c r="M49" s="12">
        <v>46157</v>
      </c>
      <c r="N49" s="9" t="s">
        <v>31</v>
      </c>
      <c r="O49" s="9" t="s">
        <v>108</v>
      </c>
      <c r="P49" s="9" t="s">
        <v>157</v>
      </c>
      <c r="Q49" s="9"/>
    </row>
    <row r="50" spans="1:17" x14ac:dyDescent="0.3">
      <c r="A50" s="9">
        <v>132</v>
      </c>
      <c r="B50" s="9" t="s">
        <v>105</v>
      </c>
      <c r="C50" s="9" t="s">
        <v>156</v>
      </c>
      <c r="D50" s="9" t="s">
        <v>149</v>
      </c>
      <c r="E50" s="14"/>
      <c r="F50" s="9" t="s">
        <v>38</v>
      </c>
      <c r="G50" s="9" t="s">
        <v>20</v>
      </c>
      <c r="H50" s="9" t="s">
        <v>28</v>
      </c>
      <c r="I50" s="6">
        <v>1</v>
      </c>
      <c r="J50" s="7">
        <v>2000</v>
      </c>
      <c r="K50" s="11">
        <f>Tabela1[[#This Row],[Qtd]]*Tabela1[[#This Row],[Valor]]</f>
        <v>2000</v>
      </c>
      <c r="L50" s="6"/>
      <c r="M50" s="12">
        <v>46157</v>
      </c>
      <c r="N50" s="9" t="s">
        <v>31</v>
      </c>
      <c r="O50" s="9" t="s">
        <v>108</v>
      </c>
      <c r="P50" s="9" t="s">
        <v>157</v>
      </c>
      <c r="Q50" s="9"/>
    </row>
    <row r="51" spans="1:17" x14ac:dyDescent="0.3">
      <c r="A51" s="9">
        <v>133</v>
      </c>
      <c r="B51" s="9" t="s">
        <v>40</v>
      </c>
      <c r="C51" s="9" t="s">
        <v>44</v>
      </c>
      <c r="D51" s="9" t="s">
        <v>61</v>
      </c>
      <c r="E51" s="14" t="s">
        <v>150</v>
      </c>
      <c r="F51" s="9" t="s">
        <v>18</v>
      </c>
      <c r="G51" s="9" t="s">
        <v>19</v>
      </c>
      <c r="H51" s="9" t="s">
        <v>28</v>
      </c>
      <c r="I51" s="6">
        <v>1</v>
      </c>
      <c r="J51" s="7">
        <v>3200</v>
      </c>
      <c r="K51" s="11">
        <f>Tabela1[[#This Row],[Qtd]]*Tabela1[[#This Row],[Valor]]</f>
        <v>3200</v>
      </c>
      <c r="L51" s="6"/>
      <c r="M51" s="12">
        <v>46157</v>
      </c>
      <c r="N51" s="9" t="s">
        <v>31</v>
      </c>
      <c r="O51" s="9" t="s">
        <v>108</v>
      </c>
      <c r="P51" s="9" t="s">
        <v>120</v>
      </c>
      <c r="Q51" s="9"/>
    </row>
    <row r="52" spans="1:17" x14ac:dyDescent="0.3">
      <c r="A52" s="9">
        <v>134</v>
      </c>
      <c r="B52" s="9" t="s">
        <v>37</v>
      </c>
      <c r="C52" s="9" t="s">
        <v>156</v>
      </c>
      <c r="D52" s="9" t="s">
        <v>73</v>
      </c>
      <c r="E52" s="14"/>
      <c r="F52" s="9" t="s">
        <v>38</v>
      </c>
      <c r="G52" s="9" t="s">
        <v>20</v>
      </c>
      <c r="H52" s="9" t="s">
        <v>28</v>
      </c>
      <c r="I52" s="6">
        <v>1</v>
      </c>
      <c r="J52" s="7">
        <v>350</v>
      </c>
      <c r="K52" s="11">
        <f>Tabela1[[#This Row],[Qtd]]*Tabela1[[#This Row],[Valor]]</f>
        <v>350</v>
      </c>
      <c r="L52" s="6"/>
      <c r="M52" s="12">
        <v>46157</v>
      </c>
      <c r="N52" s="9" t="s">
        <v>31</v>
      </c>
      <c r="O52" s="9" t="s">
        <v>108</v>
      </c>
      <c r="P52" s="9" t="s">
        <v>157</v>
      </c>
      <c r="Q52" s="9"/>
    </row>
    <row r="53" spans="1:17" x14ac:dyDescent="0.3">
      <c r="A53" s="9">
        <v>135</v>
      </c>
      <c r="B53" s="9" t="s">
        <v>37</v>
      </c>
      <c r="C53" s="9" t="s">
        <v>156</v>
      </c>
      <c r="D53" s="9" t="s">
        <v>155</v>
      </c>
      <c r="E53" s="14"/>
      <c r="F53" s="9" t="s">
        <v>38</v>
      </c>
      <c r="G53" s="9" t="s">
        <v>20</v>
      </c>
      <c r="H53" s="9" t="s">
        <v>28</v>
      </c>
      <c r="I53" s="6">
        <v>2</v>
      </c>
      <c r="J53" s="7">
        <v>400</v>
      </c>
      <c r="K53" s="11">
        <f>Tabela1[[#This Row],[Qtd]]*Tabela1[[#This Row],[Valor]]</f>
        <v>800</v>
      </c>
      <c r="L53" s="6"/>
      <c r="M53" s="12">
        <v>46157</v>
      </c>
      <c r="N53" s="9" t="s">
        <v>31</v>
      </c>
      <c r="O53" s="9" t="s">
        <v>108</v>
      </c>
      <c r="P53" s="9" t="s">
        <v>157</v>
      </c>
      <c r="Q53" s="9"/>
    </row>
    <row r="54" spans="1:17" x14ac:dyDescent="0.3">
      <c r="A54" s="9">
        <v>136</v>
      </c>
      <c r="B54" s="9" t="s">
        <v>14</v>
      </c>
      <c r="C54" s="9" t="s">
        <v>151</v>
      </c>
      <c r="D54" s="9" t="s">
        <v>176</v>
      </c>
      <c r="E54" s="14" t="s">
        <v>152</v>
      </c>
      <c r="F54" s="9" t="s">
        <v>18</v>
      </c>
      <c r="G54" s="9" t="s">
        <v>19</v>
      </c>
      <c r="H54" s="9" t="s">
        <v>28</v>
      </c>
      <c r="I54" s="6">
        <v>1</v>
      </c>
      <c r="J54" s="7">
        <v>250</v>
      </c>
      <c r="K54" s="11">
        <f>Tabela1[[#This Row],[Qtd]]*Tabela1[[#This Row],[Valor]]</f>
        <v>250</v>
      </c>
      <c r="L54" s="6"/>
      <c r="M54" s="12">
        <v>46157</v>
      </c>
      <c r="N54" s="9" t="s">
        <v>31</v>
      </c>
      <c r="O54" s="9" t="s">
        <v>108</v>
      </c>
      <c r="P54" s="9" t="s">
        <v>153</v>
      </c>
      <c r="Q54" s="9"/>
    </row>
    <row r="55" spans="1:17" x14ac:dyDescent="0.3">
      <c r="A55" s="9">
        <v>137</v>
      </c>
      <c r="B55" s="9" t="s">
        <v>14</v>
      </c>
      <c r="C55" s="9" t="s">
        <v>151</v>
      </c>
      <c r="D55" s="9" t="s">
        <v>176</v>
      </c>
      <c r="E55" s="14" t="s">
        <v>152</v>
      </c>
      <c r="F55" s="9" t="s">
        <v>18</v>
      </c>
      <c r="G55" s="9" t="s">
        <v>19</v>
      </c>
      <c r="H55" s="9" t="s">
        <v>28</v>
      </c>
      <c r="I55" s="6">
        <v>1</v>
      </c>
      <c r="J55" s="7">
        <v>250</v>
      </c>
      <c r="K55" s="11">
        <f>Tabela1[[#This Row],[Qtd]]*Tabela1[[#This Row],[Valor]]</f>
        <v>250</v>
      </c>
      <c r="L55" s="6"/>
      <c r="M55" s="12">
        <v>46157</v>
      </c>
      <c r="N55" s="9" t="s">
        <v>31</v>
      </c>
      <c r="O55" s="9" t="s">
        <v>108</v>
      </c>
      <c r="P55" s="9" t="s">
        <v>154</v>
      </c>
      <c r="Q55" s="9"/>
    </row>
    <row r="56" spans="1:17" x14ac:dyDescent="0.3">
      <c r="A56" s="9">
        <v>138</v>
      </c>
      <c r="B56" s="9" t="s">
        <v>69</v>
      </c>
      <c r="C56" s="9" t="s">
        <v>70</v>
      </c>
      <c r="D56" s="9" t="s">
        <v>71</v>
      </c>
      <c r="E56" s="14"/>
      <c r="F56" s="9" t="s">
        <v>38</v>
      </c>
      <c r="G56" s="9" t="s">
        <v>20</v>
      </c>
      <c r="H56" s="9" t="s">
        <v>28</v>
      </c>
      <c r="I56" s="6">
        <v>29</v>
      </c>
      <c r="J56" s="7">
        <v>750</v>
      </c>
      <c r="K56" s="11">
        <f>Tabela1[[#This Row],[Qtd]]*Tabela1[[#This Row],[Valor]]</f>
        <v>21750</v>
      </c>
      <c r="L56" s="6"/>
      <c r="M56" s="12">
        <v>46160</v>
      </c>
      <c r="N56" s="9" t="s">
        <v>31</v>
      </c>
      <c r="O56" s="9" t="s">
        <v>166</v>
      </c>
      <c r="P56" s="9" t="s">
        <v>32</v>
      </c>
      <c r="Q56" s="9"/>
    </row>
    <row r="57" spans="1:17" x14ac:dyDescent="0.3">
      <c r="A57" s="9">
        <v>139</v>
      </c>
      <c r="B57" s="9" t="s">
        <v>40</v>
      </c>
      <c r="C57" s="9" t="s">
        <v>44</v>
      </c>
      <c r="D57" s="9" t="s">
        <v>169</v>
      </c>
      <c r="E57" s="14" t="s">
        <v>181</v>
      </c>
      <c r="F57" s="9" t="s">
        <v>18</v>
      </c>
      <c r="G57" s="9" t="s">
        <v>19</v>
      </c>
      <c r="H57" s="9" t="s">
        <v>28</v>
      </c>
      <c r="I57" s="6">
        <v>1</v>
      </c>
      <c r="J57" s="7">
        <v>3500</v>
      </c>
      <c r="K57" s="11">
        <f>Tabela1[[#This Row],[Qtd]]*Tabela1[[#This Row],[Valor]]</f>
        <v>3500</v>
      </c>
      <c r="L57" s="6"/>
      <c r="M57" s="12">
        <v>46160</v>
      </c>
      <c r="N57" s="9" t="s">
        <v>31</v>
      </c>
      <c r="O57" s="9" t="s">
        <v>32</v>
      </c>
      <c r="P57" s="9" t="s">
        <v>171</v>
      </c>
      <c r="Q57" s="9"/>
    </row>
    <row r="58" spans="1:17" x14ac:dyDescent="0.3">
      <c r="A58" s="9">
        <v>140</v>
      </c>
      <c r="B58" s="9" t="s">
        <v>40</v>
      </c>
      <c r="C58" s="9" t="s">
        <v>44</v>
      </c>
      <c r="D58" s="9" t="s">
        <v>169</v>
      </c>
      <c r="E58" s="14" t="s">
        <v>61</v>
      </c>
      <c r="F58" s="9" t="s">
        <v>18</v>
      </c>
      <c r="G58" s="9" t="s">
        <v>19</v>
      </c>
      <c r="H58" s="9" t="s">
        <v>28</v>
      </c>
      <c r="I58" s="6">
        <v>1</v>
      </c>
      <c r="J58" s="7">
        <v>2500</v>
      </c>
      <c r="K58" s="11">
        <f>Tabela1[[#This Row],[Qtd]]*Tabela1[[#This Row],[Valor]]</f>
        <v>2500</v>
      </c>
      <c r="L58" s="6"/>
      <c r="M58" s="12">
        <v>46161</v>
      </c>
      <c r="N58" s="9" t="s">
        <v>31</v>
      </c>
      <c r="O58" s="9" t="s">
        <v>165</v>
      </c>
      <c r="P58" s="9" t="s">
        <v>175</v>
      </c>
      <c r="Q58" s="9"/>
    </row>
    <row r="59" spans="1:17" x14ac:dyDescent="0.3">
      <c r="A59" s="9">
        <v>141</v>
      </c>
      <c r="B59" s="9" t="s">
        <v>40</v>
      </c>
      <c r="C59" s="9" t="s">
        <v>44</v>
      </c>
      <c r="D59" s="9" t="s">
        <v>170</v>
      </c>
      <c r="E59" s="9" t="s">
        <v>180</v>
      </c>
      <c r="F59" s="9" t="s">
        <v>18</v>
      </c>
      <c r="G59" s="9" t="s">
        <v>19</v>
      </c>
      <c r="H59" s="9" t="s">
        <v>28</v>
      </c>
      <c r="I59" s="6">
        <v>1</v>
      </c>
      <c r="J59" s="7">
        <v>2100</v>
      </c>
      <c r="K59" s="11">
        <f>Tabela1[[#This Row],[Qtd]]*Tabela1[[#This Row],[Valor]]</f>
        <v>2100</v>
      </c>
      <c r="L59" s="6"/>
      <c r="M59" s="12">
        <v>46161</v>
      </c>
      <c r="N59" s="9" t="s">
        <v>31</v>
      </c>
      <c r="O59" s="9" t="s">
        <v>165</v>
      </c>
      <c r="P59" s="9" t="s">
        <v>179</v>
      </c>
      <c r="Q59" s="9"/>
    </row>
    <row r="60" spans="1:17" x14ac:dyDescent="0.3">
      <c r="A60" s="9">
        <v>142</v>
      </c>
      <c r="B60" s="9" t="s">
        <v>40</v>
      </c>
      <c r="C60" s="9" t="s">
        <v>44</v>
      </c>
      <c r="D60" s="9" t="s">
        <v>169</v>
      </c>
      <c r="E60" s="9" t="s">
        <v>182</v>
      </c>
      <c r="F60" s="9" t="s">
        <v>18</v>
      </c>
      <c r="G60" s="9" t="s">
        <v>19</v>
      </c>
      <c r="H60" s="9" t="s">
        <v>28</v>
      </c>
      <c r="I60" s="6">
        <v>1</v>
      </c>
      <c r="J60" s="7">
        <v>3500</v>
      </c>
      <c r="K60" s="11">
        <f>Tabela1[[#This Row],[Qtd]]*Tabela1[[#This Row],[Valor]]</f>
        <v>3500</v>
      </c>
      <c r="L60" s="6"/>
      <c r="M60" s="12">
        <v>46161</v>
      </c>
      <c r="N60" s="9" t="s">
        <v>31</v>
      </c>
      <c r="O60" s="9" t="s">
        <v>32</v>
      </c>
      <c r="P60" s="9" t="s">
        <v>33</v>
      </c>
      <c r="Q60" s="9"/>
    </row>
    <row r="61" spans="1:17" x14ac:dyDescent="0.3">
      <c r="A61" s="9">
        <v>143</v>
      </c>
      <c r="B61" s="9" t="s">
        <v>40</v>
      </c>
      <c r="C61" s="9" t="s">
        <v>44</v>
      </c>
      <c r="D61" s="9" t="s">
        <v>169</v>
      </c>
      <c r="E61" s="9" t="s">
        <v>184</v>
      </c>
      <c r="F61" s="9" t="s">
        <v>18</v>
      </c>
      <c r="G61" s="9" t="s">
        <v>19</v>
      </c>
      <c r="H61" s="9" t="s">
        <v>28</v>
      </c>
      <c r="I61" s="6">
        <v>1</v>
      </c>
      <c r="J61" s="7">
        <v>3500</v>
      </c>
      <c r="K61" s="11">
        <f>Tabela1[[#This Row],[Qtd]]*Tabela1[[#This Row],[Valor]]</f>
        <v>3500</v>
      </c>
      <c r="L61" s="6"/>
      <c r="M61" s="12">
        <v>46161</v>
      </c>
      <c r="N61" s="9" t="s">
        <v>31</v>
      </c>
      <c r="O61" s="9" t="s">
        <v>32</v>
      </c>
      <c r="P61" s="9" t="s">
        <v>183</v>
      </c>
      <c r="Q61" s="9"/>
    </row>
    <row r="62" spans="1:17" x14ac:dyDescent="0.3">
      <c r="A62" s="9">
        <v>144</v>
      </c>
      <c r="B62" s="9" t="s">
        <v>37</v>
      </c>
      <c r="C62" s="9" t="s">
        <v>156</v>
      </c>
      <c r="D62" s="9" t="s">
        <v>185</v>
      </c>
      <c r="E62" s="9"/>
      <c r="F62" s="9" t="s">
        <v>38</v>
      </c>
      <c r="G62" s="9" t="s">
        <v>20</v>
      </c>
      <c r="H62" s="9" t="s">
        <v>28</v>
      </c>
      <c r="I62" s="6">
        <v>13</v>
      </c>
      <c r="J62" s="7">
        <v>1600</v>
      </c>
      <c r="K62" s="11">
        <f>Tabela1[[#This Row],[Qtd]]*Tabela1[[#This Row],[Valor]]</f>
        <v>20800</v>
      </c>
      <c r="L62" s="6"/>
      <c r="M62" s="12">
        <v>46161</v>
      </c>
      <c r="N62" s="9" t="s">
        <v>31</v>
      </c>
      <c r="O62" t="s">
        <v>166</v>
      </c>
      <c r="P62" s="9"/>
      <c r="Q62" s="9"/>
    </row>
    <row r="63" spans="1:17" x14ac:dyDescent="0.3">
      <c r="A63" s="9">
        <v>145</v>
      </c>
      <c r="B63" s="9" t="s">
        <v>37</v>
      </c>
      <c r="C63" s="9" t="s">
        <v>156</v>
      </c>
      <c r="D63" s="9" t="s">
        <v>186</v>
      </c>
      <c r="E63" s="9"/>
      <c r="F63" s="9" t="s">
        <v>38</v>
      </c>
      <c r="G63" s="9" t="s">
        <v>20</v>
      </c>
      <c r="H63" s="9" t="s">
        <v>28</v>
      </c>
      <c r="I63" s="6">
        <v>2</v>
      </c>
      <c r="J63" s="7">
        <v>7000</v>
      </c>
      <c r="K63" s="11">
        <f>Tabela1[[#This Row],[Qtd]]*Tabela1[[#This Row],[Valor]]</f>
        <v>14000</v>
      </c>
      <c r="L63" s="6"/>
      <c r="M63" s="12">
        <v>46161</v>
      </c>
      <c r="N63" s="9" t="s">
        <v>31</v>
      </c>
      <c r="O63" s="9" t="s">
        <v>166</v>
      </c>
      <c r="P63" s="9"/>
      <c r="Q63" s="9"/>
    </row>
    <row r="64" spans="1:17" x14ac:dyDescent="0.3">
      <c r="A64" s="9">
        <v>146</v>
      </c>
      <c r="B64" s="9" t="s">
        <v>14</v>
      </c>
      <c r="C64" s="9" t="s">
        <v>44</v>
      </c>
      <c r="D64" s="9" t="s">
        <v>187</v>
      </c>
      <c r="E64" s="9" t="s">
        <v>188</v>
      </c>
      <c r="F64" s="9" t="s">
        <v>18</v>
      </c>
      <c r="G64" s="9" t="s">
        <v>19</v>
      </c>
      <c r="H64" s="9" t="s">
        <v>28</v>
      </c>
      <c r="I64" s="6">
        <v>1</v>
      </c>
      <c r="J64" s="7">
        <v>200</v>
      </c>
      <c r="K64" s="11">
        <f>Tabela1[[#This Row],[Qtd]]*Tabela1[[#This Row],[Valor]]</f>
        <v>200</v>
      </c>
      <c r="L64" s="6"/>
      <c r="M64" s="12">
        <v>46161</v>
      </c>
      <c r="N64" s="9" t="s">
        <v>31</v>
      </c>
      <c r="O64" s="9" t="s">
        <v>204</v>
      </c>
      <c r="P64" s="9" t="s">
        <v>203</v>
      </c>
      <c r="Q64" s="9"/>
    </row>
    <row r="65" spans="1:17" x14ac:dyDescent="0.3">
      <c r="A65" s="9">
        <v>147</v>
      </c>
      <c r="B65" s="9" t="s">
        <v>14</v>
      </c>
      <c r="C65" s="9" t="s">
        <v>151</v>
      </c>
      <c r="D65" s="9" t="s">
        <v>189</v>
      </c>
      <c r="E65" s="9" t="s">
        <v>190</v>
      </c>
      <c r="F65" s="9" t="s">
        <v>18</v>
      </c>
      <c r="G65" s="9" t="s">
        <v>19</v>
      </c>
      <c r="H65" s="9" t="s">
        <v>28</v>
      </c>
      <c r="I65" s="6">
        <v>1</v>
      </c>
      <c r="J65" s="7">
        <v>200</v>
      </c>
      <c r="K65" s="11">
        <f>Tabela1[[#This Row],[Qtd]]*Tabela1[[#This Row],[Valor]]</f>
        <v>200</v>
      </c>
      <c r="L65" s="6"/>
      <c r="M65" s="12">
        <v>46161</v>
      </c>
      <c r="N65" s="9" t="s">
        <v>31</v>
      </c>
      <c r="O65" s="9" t="s">
        <v>204</v>
      </c>
      <c r="P65" s="9" t="s">
        <v>192</v>
      </c>
      <c r="Q65" s="9"/>
    </row>
    <row r="66" spans="1:17" x14ac:dyDescent="0.3">
      <c r="A66" s="9">
        <v>151</v>
      </c>
      <c r="B66" s="9" t="s">
        <v>14</v>
      </c>
      <c r="C66" s="9" t="s">
        <v>151</v>
      </c>
      <c r="D66" s="9" t="s">
        <v>189</v>
      </c>
      <c r="E66" s="9" t="s">
        <v>190</v>
      </c>
      <c r="F66" s="9" t="s">
        <v>18</v>
      </c>
      <c r="G66" s="9" t="s">
        <v>19</v>
      </c>
      <c r="H66" s="9" t="s">
        <v>28</v>
      </c>
      <c r="I66" s="6">
        <v>1</v>
      </c>
      <c r="J66" s="7">
        <v>200</v>
      </c>
      <c r="K66" s="11">
        <f>Tabela1[[#This Row],[Qtd]]*Tabela1[[#This Row],[Valor]]</f>
        <v>200</v>
      </c>
      <c r="L66" s="6"/>
      <c r="M66" s="12">
        <v>46161</v>
      </c>
      <c r="N66" s="9" t="s">
        <v>31</v>
      </c>
      <c r="O66" s="9" t="s">
        <v>204</v>
      </c>
      <c r="P66" s="9" t="s">
        <v>191</v>
      </c>
      <c r="Q66" s="9"/>
    </row>
    <row r="67" spans="1:17" x14ac:dyDescent="0.3">
      <c r="A67" s="9">
        <v>148</v>
      </c>
      <c r="B67" s="9" t="s">
        <v>40</v>
      </c>
      <c r="C67" s="9" t="s">
        <v>65</v>
      </c>
      <c r="D67" s="9" t="s">
        <v>193</v>
      </c>
      <c r="E67" s="9" t="s">
        <v>194</v>
      </c>
      <c r="F67" s="9" t="s">
        <v>18</v>
      </c>
      <c r="G67" s="9" t="s">
        <v>19</v>
      </c>
      <c r="H67" s="9" t="s">
        <v>28</v>
      </c>
      <c r="I67" s="6">
        <v>1</v>
      </c>
      <c r="J67" s="7">
        <v>2800</v>
      </c>
      <c r="K67" s="11">
        <f>Tabela1[[#This Row],[Qtd]]*Tabela1[[#This Row],[Valor]]</f>
        <v>2800</v>
      </c>
      <c r="L67" s="6"/>
      <c r="M67" s="12">
        <v>46161</v>
      </c>
      <c r="N67" s="9" t="s">
        <v>31</v>
      </c>
      <c r="O67" s="9" t="s">
        <v>204</v>
      </c>
      <c r="P67" s="9" t="s">
        <v>192</v>
      </c>
      <c r="Q67" s="9"/>
    </row>
    <row r="68" spans="1:17" x14ac:dyDescent="0.3">
      <c r="A68" s="9">
        <v>149</v>
      </c>
      <c r="B68" s="9" t="s">
        <v>40</v>
      </c>
      <c r="C68" s="9" t="s">
        <v>44</v>
      </c>
      <c r="D68" s="9" t="s">
        <v>169</v>
      </c>
      <c r="E68" s="9" t="s">
        <v>195</v>
      </c>
      <c r="F68" s="9" t="s">
        <v>18</v>
      </c>
      <c r="G68" s="9" t="s">
        <v>19</v>
      </c>
      <c r="H68" s="9" t="s">
        <v>28</v>
      </c>
      <c r="I68" s="6">
        <v>1</v>
      </c>
      <c r="J68" s="7">
        <v>3000</v>
      </c>
      <c r="K68" s="11">
        <f>Tabela1[[#This Row],[Qtd]]*Tabela1[[#This Row],[Valor]]</f>
        <v>3000</v>
      </c>
      <c r="L68" s="6"/>
      <c r="M68" s="12">
        <v>46161</v>
      </c>
      <c r="N68" s="9" t="s">
        <v>31</v>
      </c>
      <c r="O68" s="9" t="s">
        <v>204</v>
      </c>
      <c r="P68" s="9" t="s">
        <v>196</v>
      </c>
      <c r="Q68" s="9"/>
    </row>
    <row r="69" spans="1:17" x14ac:dyDescent="0.3">
      <c r="A69" s="9">
        <v>150</v>
      </c>
      <c r="B69" s="9" t="s">
        <v>40</v>
      </c>
      <c r="C69" s="9" t="s">
        <v>41</v>
      </c>
      <c r="D69" s="9" t="s">
        <v>95</v>
      </c>
      <c r="E69" s="9" t="s">
        <v>197</v>
      </c>
      <c r="F69" s="9" t="s">
        <v>18</v>
      </c>
      <c r="G69" s="9" t="s">
        <v>19</v>
      </c>
      <c r="H69" s="9" t="s">
        <v>28</v>
      </c>
      <c r="I69" s="6">
        <v>1</v>
      </c>
      <c r="J69" s="7">
        <v>1700</v>
      </c>
      <c r="K69" s="11">
        <f>Tabela1[[#This Row],[Qtd]]*Tabela1[[#This Row],[Valor]]</f>
        <v>1700</v>
      </c>
      <c r="L69" s="6"/>
      <c r="M69" s="12">
        <v>46161</v>
      </c>
      <c r="N69" s="9" t="s">
        <v>31</v>
      </c>
      <c r="O69" s="9" t="s">
        <v>204</v>
      </c>
      <c r="P69" s="9" t="s">
        <v>191</v>
      </c>
      <c r="Q69" s="9"/>
    </row>
    <row r="70" spans="1:17" x14ac:dyDescent="0.3">
      <c r="A70" s="9">
        <v>41</v>
      </c>
      <c r="B70" s="9" t="s">
        <v>14</v>
      </c>
      <c r="C70" s="9" t="s">
        <v>16</v>
      </c>
      <c r="D70" s="9" t="s">
        <v>17</v>
      </c>
      <c r="E70" s="9" t="s">
        <v>198</v>
      </c>
      <c r="F70" s="9" t="s">
        <v>18</v>
      </c>
      <c r="G70" s="9" t="s">
        <v>19</v>
      </c>
      <c r="H70" s="9" t="s">
        <v>28</v>
      </c>
      <c r="I70" s="6">
        <v>1</v>
      </c>
      <c r="J70" s="7">
        <v>750</v>
      </c>
      <c r="K70" s="11">
        <f>Tabela1[[#This Row],[Qtd]]*Tabela1[[#This Row],[Valor]]</f>
        <v>750</v>
      </c>
      <c r="L70" s="6"/>
      <c r="M70" s="12">
        <v>46161</v>
      </c>
      <c r="N70" s="9" t="s">
        <v>31</v>
      </c>
      <c r="O70" s="9" t="s">
        <v>204</v>
      </c>
      <c r="P70" s="9" t="s">
        <v>196</v>
      </c>
      <c r="Q70" s="9"/>
    </row>
    <row r="71" spans="1:17" x14ac:dyDescent="0.3">
      <c r="A71" s="9">
        <v>152</v>
      </c>
      <c r="B71" s="9" t="s">
        <v>69</v>
      </c>
      <c r="C71" s="9" t="s">
        <v>70</v>
      </c>
      <c r="D71" s="9" t="s">
        <v>71</v>
      </c>
      <c r="E71" s="9"/>
      <c r="F71" s="9" t="s">
        <v>38</v>
      </c>
      <c r="G71" s="9" t="s">
        <v>20</v>
      </c>
      <c r="H71" s="9" t="s">
        <v>28</v>
      </c>
      <c r="I71" s="6">
        <v>5</v>
      </c>
      <c r="J71" s="7">
        <v>750</v>
      </c>
      <c r="K71" s="11">
        <f>Tabela1[[#This Row],[Qtd]]*Tabela1[[#This Row],[Valor]]</f>
        <v>3750</v>
      </c>
      <c r="L71" s="6"/>
      <c r="M71" s="12">
        <v>46161</v>
      </c>
      <c r="N71" s="9" t="s">
        <v>31</v>
      </c>
      <c r="O71" s="9" t="s">
        <v>204</v>
      </c>
      <c r="P71" s="9" t="s">
        <v>196</v>
      </c>
      <c r="Q71" s="9"/>
    </row>
    <row r="72" spans="1:17" x14ac:dyDescent="0.3">
      <c r="A72" s="9">
        <v>153</v>
      </c>
      <c r="B72" s="9" t="s">
        <v>199</v>
      </c>
      <c r="C72" s="9" t="s">
        <v>151</v>
      </c>
      <c r="D72" s="9" t="s">
        <v>200</v>
      </c>
      <c r="E72" s="9"/>
      <c r="F72" s="9" t="s">
        <v>18</v>
      </c>
      <c r="G72" s="9" t="s">
        <v>24</v>
      </c>
      <c r="H72" s="9" t="s">
        <v>28</v>
      </c>
      <c r="I72" s="6">
        <v>5</v>
      </c>
      <c r="J72" s="7">
        <v>1000</v>
      </c>
      <c r="K72" s="11">
        <f>Tabela1[[#This Row],[Qtd]]*Tabela1[[#This Row],[Valor]]</f>
        <v>5000</v>
      </c>
      <c r="L72" s="6"/>
      <c r="M72" s="12">
        <v>46161</v>
      </c>
      <c r="N72" s="9" t="s">
        <v>31</v>
      </c>
      <c r="O72" s="9" t="s">
        <v>204</v>
      </c>
      <c r="P72" s="9" t="s">
        <v>196</v>
      </c>
      <c r="Q72" s="9"/>
    </row>
    <row r="73" spans="1:17" x14ac:dyDescent="0.3">
      <c r="A73" s="9">
        <v>154</v>
      </c>
      <c r="B73" s="9" t="s">
        <v>37</v>
      </c>
      <c r="C73" s="9" t="s">
        <v>156</v>
      </c>
      <c r="D73" s="17" t="s">
        <v>205</v>
      </c>
      <c r="E73" s="9"/>
      <c r="F73" s="9" t="s">
        <v>38</v>
      </c>
      <c r="G73" s="9" t="s">
        <v>20</v>
      </c>
      <c r="H73" s="9" t="s">
        <v>28</v>
      </c>
      <c r="I73" s="6">
        <v>1</v>
      </c>
      <c r="J73" s="7">
        <v>2000</v>
      </c>
      <c r="K73" s="11">
        <f>Tabela1[[#This Row],[Qtd]]*Tabela1[[#This Row],[Valor]]</f>
        <v>2000</v>
      </c>
      <c r="L73" s="6"/>
      <c r="M73" s="12">
        <v>46161</v>
      </c>
      <c r="N73" s="9" t="s">
        <v>31</v>
      </c>
      <c r="O73" s="9" t="s">
        <v>204</v>
      </c>
      <c r="P73" s="9" t="s">
        <v>196</v>
      </c>
      <c r="Q73" s="9"/>
    </row>
    <row r="74" spans="1:17" x14ac:dyDescent="0.3">
      <c r="A74" s="9">
        <v>155</v>
      </c>
      <c r="B74" s="9" t="s">
        <v>37</v>
      </c>
      <c r="C74" s="9" t="s">
        <v>156</v>
      </c>
      <c r="D74" s="9" t="s">
        <v>73</v>
      </c>
      <c r="E74" s="9"/>
      <c r="F74" s="9" t="s">
        <v>38</v>
      </c>
      <c r="G74" s="9" t="s">
        <v>20</v>
      </c>
      <c r="H74" s="9" t="s">
        <v>28</v>
      </c>
      <c r="I74" s="6">
        <v>1</v>
      </c>
      <c r="J74" s="7">
        <v>350</v>
      </c>
      <c r="K74" s="11">
        <f>Tabela1[[#This Row],[Qtd]]*Tabela1[[#This Row],[Valor]]</f>
        <v>350</v>
      </c>
      <c r="L74" s="6"/>
      <c r="M74" s="12">
        <v>46161</v>
      </c>
      <c r="N74" s="9" t="s">
        <v>31</v>
      </c>
      <c r="O74" s="9" t="s">
        <v>204</v>
      </c>
      <c r="P74" s="9" t="s">
        <v>196</v>
      </c>
      <c r="Q74" s="9"/>
    </row>
    <row r="75" spans="1:17" x14ac:dyDescent="0.3">
      <c r="A75" s="9">
        <v>156</v>
      </c>
      <c r="B75" s="9" t="s">
        <v>40</v>
      </c>
      <c r="C75" s="9" t="s">
        <v>41</v>
      </c>
      <c r="D75" s="9" t="s">
        <v>201</v>
      </c>
      <c r="E75" s="9" t="s">
        <v>202</v>
      </c>
      <c r="F75" s="9" t="s">
        <v>18</v>
      </c>
      <c r="G75" s="9" t="s">
        <v>19</v>
      </c>
      <c r="H75" s="9" t="s">
        <v>28</v>
      </c>
      <c r="I75" s="6">
        <v>1</v>
      </c>
      <c r="J75" s="7">
        <v>2500</v>
      </c>
      <c r="K75" s="11">
        <f>Tabela1[[#This Row],[Qtd]]*Tabela1[[#This Row],[Valor]]</f>
        <v>2500</v>
      </c>
      <c r="L75" s="6"/>
      <c r="M75" s="12">
        <v>46161</v>
      </c>
      <c r="N75" s="9" t="s">
        <v>31</v>
      </c>
      <c r="O75" s="9" t="s">
        <v>204</v>
      </c>
      <c r="P75" s="9" t="s">
        <v>196</v>
      </c>
      <c r="Q75" s="9"/>
    </row>
  </sheetData>
  <dataValidations count="1">
    <dataValidation type="list" allowBlank="1" showInputMessage="1" showErrorMessage="1" sqref="T1:T2" xr:uid="{3615BDC8-212A-499B-8314-77CCEF05DA1B}">
      <formula1>$T$1:$T$2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67E036-0441-4962-8648-BD548C4A52AE}">
          <x14:formula1>
            <xm:f>dados!$A$2:$A$10</xm:f>
          </x14:formula1>
          <xm:sqref>G2:G75</xm:sqref>
        </x14:dataValidation>
        <x14:dataValidation type="list" allowBlank="1" showInputMessage="1" showErrorMessage="1" xr:uid="{2EFC99DB-5EC0-4498-B2A3-3B9BCA5D9123}">
          <x14:formula1>
            <xm:f>dados!$C$2:$C$4</xm:f>
          </x14:formula1>
          <xm:sqref>N2:N75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20F1-70EB-4643-A754-594496AD3E71}">
  <dimension ref="A1:D14"/>
  <sheetViews>
    <sheetView workbookViewId="0">
      <selection activeCell="D1" sqref="D1:D14"/>
    </sheetView>
  </sheetViews>
  <sheetFormatPr defaultRowHeight="14.4" x14ac:dyDescent="0.3"/>
  <cols>
    <col min="1" max="1" width="8.44140625" bestFit="1" customWidth="1"/>
  </cols>
  <sheetData>
    <row r="1" spans="1:4" x14ac:dyDescent="0.3">
      <c r="A1" t="s">
        <v>16</v>
      </c>
      <c r="B1" t="s">
        <v>17</v>
      </c>
      <c r="C1" t="s">
        <v>78</v>
      </c>
      <c r="D1" s="10">
        <v>750</v>
      </c>
    </row>
    <row r="2" spans="1:4" x14ac:dyDescent="0.3">
      <c r="A2" t="s">
        <v>41</v>
      </c>
      <c r="B2" t="s">
        <v>79</v>
      </c>
      <c r="C2" t="s">
        <v>40</v>
      </c>
      <c r="D2" s="10">
        <v>2400</v>
      </c>
    </row>
    <row r="3" spans="1:4" x14ac:dyDescent="0.3">
      <c r="A3" t="s">
        <v>44</v>
      </c>
      <c r="B3" t="s">
        <v>47</v>
      </c>
      <c r="C3" t="s">
        <v>80</v>
      </c>
      <c r="D3" s="10">
        <v>2800</v>
      </c>
    </row>
    <row r="4" spans="1:4" x14ac:dyDescent="0.3">
      <c r="A4" t="s">
        <v>44</v>
      </c>
      <c r="B4" t="s">
        <v>47</v>
      </c>
      <c r="C4" t="s">
        <v>80</v>
      </c>
      <c r="D4" s="10">
        <v>2800</v>
      </c>
    </row>
    <row r="5" spans="1:4" x14ac:dyDescent="0.3">
      <c r="A5" t="s">
        <v>41</v>
      </c>
      <c r="B5" t="s">
        <v>49</v>
      </c>
      <c r="C5" t="s">
        <v>40</v>
      </c>
      <c r="D5" s="10">
        <v>1600</v>
      </c>
    </row>
    <row r="6" spans="1:4" x14ac:dyDescent="0.3">
      <c r="A6" t="s">
        <v>53</v>
      </c>
      <c r="B6" t="s">
        <v>52</v>
      </c>
      <c r="C6" t="s">
        <v>40</v>
      </c>
      <c r="D6" s="10">
        <v>2700</v>
      </c>
    </row>
    <row r="7" spans="1:4" x14ac:dyDescent="0.3">
      <c r="A7" t="s">
        <v>41</v>
      </c>
      <c r="B7" t="s">
        <v>49</v>
      </c>
      <c r="C7" t="s">
        <v>40</v>
      </c>
      <c r="D7" s="10">
        <v>1600</v>
      </c>
    </row>
    <row r="8" spans="1:4" x14ac:dyDescent="0.3">
      <c r="A8" t="s">
        <v>44</v>
      </c>
      <c r="B8" t="s">
        <v>61</v>
      </c>
      <c r="C8" t="s">
        <v>80</v>
      </c>
      <c r="D8" s="10">
        <v>3200</v>
      </c>
    </row>
    <row r="9" spans="1:4" x14ac:dyDescent="0.3">
      <c r="A9" t="s">
        <v>44</v>
      </c>
      <c r="B9" t="s">
        <v>61</v>
      </c>
      <c r="C9" t="s">
        <v>80</v>
      </c>
      <c r="D9" s="10">
        <v>3200</v>
      </c>
    </row>
    <row r="10" spans="1:4" x14ac:dyDescent="0.3">
      <c r="A10" t="s">
        <v>44</v>
      </c>
      <c r="B10" t="s">
        <v>61</v>
      </c>
      <c r="C10" t="s">
        <v>80</v>
      </c>
      <c r="D10" s="10">
        <v>3200</v>
      </c>
    </row>
    <row r="11" spans="1:4" x14ac:dyDescent="0.3">
      <c r="A11" t="s">
        <v>41</v>
      </c>
      <c r="B11" t="s">
        <v>62</v>
      </c>
      <c r="C11" t="s">
        <v>40</v>
      </c>
      <c r="D11" s="10">
        <v>2900</v>
      </c>
    </row>
    <row r="12" spans="1:4" x14ac:dyDescent="0.3">
      <c r="A12" t="s">
        <v>65</v>
      </c>
      <c r="B12" t="s">
        <v>66</v>
      </c>
      <c r="C12" t="s">
        <v>40</v>
      </c>
      <c r="D12" s="10">
        <v>3500</v>
      </c>
    </row>
    <row r="13" spans="1:4" x14ac:dyDescent="0.3">
      <c r="A13" t="s">
        <v>70</v>
      </c>
      <c r="B13" t="s">
        <v>71</v>
      </c>
      <c r="C13" t="s">
        <v>81</v>
      </c>
      <c r="D13" s="10">
        <v>1200</v>
      </c>
    </row>
    <row r="14" spans="1:4" x14ac:dyDescent="0.3">
      <c r="A14" t="s">
        <v>72</v>
      </c>
      <c r="B14" t="s">
        <v>82</v>
      </c>
      <c r="C14" t="s">
        <v>83</v>
      </c>
      <c r="D14" s="10">
        <v>1800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E2B8-5174-47CE-8313-2972DFDCD49F}">
  <dimension ref="A1:C10"/>
  <sheetViews>
    <sheetView showGridLines="0" workbookViewId="0">
      <selection activeCell="D10" sqref="D10"/>
    </sheetView>
  </sheetViews>
  <sheetFormatPr defaultRowHeight="14.4" x14ac:dyDescent="0.3"/>
  <cols>
    <col min="1" max="1" width="23.44140625" customWidth="1"/>
    <col min="2" max="2" width="3" customWidth="1"/>
    <col min="3" max="3" width="18.77734375" customWidth="1"/>
  </cols>
  <sheetData>
    <row r="1" spans="1:3" x14ac:dyDescent="0.3">
      <c r="A1" s="2" t="s">
        <v>0</v>
      </c>
      <c r="C1" t="s">
        <v>1</v>
      </c>
    </row>
    <row r="2" spans="1:3" x14ac:dyDescent="0.3">
      <c r="A2" s="3" t="s">
        <v>19</v>
      </c>
      <c r="C2" t="s">
        <v>30</v>
      </c>
    </row>
    <row r="3" spans="1:3" x14ac:dyDescent="0.3">
      <c r="A3" s="3" t="s">
        <v>20</v>
      </c>
      <c r="C3" t="s">
        <v>31</v>
      </c>
    </row>
    <row r="4" spans="1:3" x14ac:dyDescent="0.3">
      <c r="A4" s="3" t="s">
        <v>21</v>
      </c>
      <c r="C4" t="s">
        <v>35</v>
      </c>
    </row>
    <row r="5" spans="1:3" x14ac:dyDescent="0.3">
      <c r="A5" s="3" t="s">
        <v>22</v>
      </c>
    </row>
    <row r="6" spans="1:3" x14ac:dyDescent="0.3">
      <c r="A6" s="3" t="s">
        <v>23</v>
      </c>
    </row>
    <row r="7" spans="1:3" x14ac:dyDescent="0.3">
      <c r="A7" s="3" t="s">
        <v>24</v>
      </c>
    </row>
    <row r="8" spans="1:3" x14ac:dyDescent="0.3">
      <c r="A8" s="3" t="s">
        <v>25</v>
      </c>
    </row>
    <row r="9" spans="1:3" x14ac:dyDescent="0.3">
      <c r="A9" s="3" t="s">
        <v>26</v>
      </c>
    </row>
    <row r="10" spans="1:3" x14ac:dyDescent="0.3">
      <c r="A10" s="3" t="s">
        <v>27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6A866-6C8A-4943-B8BD-3375175900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Zacqueu Silva</dc:creator>
  <cp:lastModifiedBy>Zacqueu Silva</cp:lastModifiedBy>
  <dcterms:created xsi:type="dcterms:W3CDTF">2026-05-11T17:34:40Z</dcterms:created>
  <dcterms:modified xsi:type="dcterms:W3CDTF">2026-05-26T12:28:26Z</dcterms:modified>
</cp:coreProperties>
</file>